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a0d4e251b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Brief" sheetId="1" r:id="Re8a77ccd037f4e6c"/>
    <x:sheet xmlns:r="http://schemas.openxmlformats.org/officeDocument/2006/relationships" name="Opportunities" sheetId="2" r:id="Rdb948ddcde094e36"/>
    <x:sheet xmlns:r="http://schemas.openxmlformats.org/officeDocument/2006/relationships" name="Competitor Evidence" sheetId="3" r:id="Ra11881b68abf4d41"/>
    <x:sheet xmlns:r="http://schemas.openxmlformats.org/officeDocument/2006/relationships" name="Keyword Validation" sheetId="4" r:id="R9c1cc07bb6ec49c9"/>
    <x:sheet xmlns:r="http://schemas.openxmlformats.org/officeDocument/2006/relationships" name="AI Agent Workflow" sheetId="5" r:id="Reb104a591e794e07"/>
    <x:sheet xmlns:r="http://schemas.openxmlformats.org/officeDocument/2006/relationships" name="Sources &amp; Method" sheetId="6" r:id="R4a3bc7fa295b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746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1"/>
      <x:color rgb="FF243746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b/>
      <x:sz val="10"/>
      <x:color rgb="FF243746"/>
      <x:name val="Aptos"/>
    </x:font>
    <x:font>
      <x:sz val="10"/>
      <x:color rgb="FF243746"/>
      <x:name val="Aptos"/>
    </x:font>
    <x:font>
      <x:i/>
      <x:sz val="10"/>
      <x:color rgb="FF243746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b/>
      <x:sz val="12"/>
      <x:color rgb="FFFFFFFF"/>
      <x:name val="Aptos"/>
    </x:font>
    <x:font>
      <x:b/>
      <x:sz val="14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5C83"/>
      </x:patternFill>
    </x:fill>
    <x:fill>
      <x:patternFill patternType="solid">
        <x:fgColor rgb="FF2D7D89"/>
      </x:patternFill>
    </x:fill>
    <x:fill>
      <x:patternFill patternType="solid">
        <x:fgColor rgb="FFF3F6F8"/>
      </x:patternFill>
    </x:fill>
    <x:fill>
      <x:patternFill patternType="solid">
        <x:fgColor rgb="FFE7F3F2"/>
      </x:patternFill>
    </x:fill>
    <x:fill>
      <x:patternFill patternType="solid">
        <x:fgColor rgb="FFFFF9E6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0" fontId="11" fillId="2" borderId="1" xfId="0" applyNumberFormat="1" applyFont="1" applyFill="1" applyBorder="1" applyAlignment="1">
      <x:alignment horizontal="left"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wrapText="1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47ca3449f4c21" /><Relationship Type="http://schemas.openxmlformats.org/officeDocument/2006/relationships/theme" Target="/xl/theme/theme1.xml" Id="R0b9d8ff77d834021" /><Relationship Type="http://schemas.openxmlformats.org/officeDocument/2006/relationships/sharedStrings" Target="/xl/sharedStrings.xml" Id="R9a1018c76d8f469e" /><Relationship Type="http://schemas.openxmlformats.org/officeDocument/2006/relationships/worksheet" Target="/xl/worksheets/sheet1.xml" Id="Re8a77ccd037f4e6c" /><Relationship Type="http://schemas.openxmlformats.org/officeDocument/2006/relationships/worksheet" Target="/xl/worksheets/sheet2.xml" Id="Rdb948ddcde094e36" /><Relationship Type="http://schemas.openxmlformats.org/officeDocument/2006/relationships/worksheet" Target="/xl/worksheets/sheet3.xml" Id="Ra11881b68abf4d41" /><Relationship Type="http://schemas.openxmlformats.org/officeDocument/2006/relationships/worksheet" Target="/xl/worksheets/sheet4.xml" Id="R9c1cc07bb6ec49c9" /><Relationship Type="http://schemas.openxmlformats.org/officeDocument/2006/relationships/worksheet" Target="/xl/worksheets/sheet5.xml" Id="Reb104a591e794e07" /><Relationship Type="http://schemas.openxmlformats.org/officeDocument/2006/relationships/worksheet" Target="/xl/worksheets/sheet6.xml" Id="R4a3bc7fa295b42e4" /></Relationships>
</file>

<file path=xl/tables/table1.xml><?xml version="1.0" encoding="utf-8"?>
<x:table xmlns:x="http://schemas.openxmlformats.org/spreadsheetml/2006/main" id="1" name="OpportunityTable" displayName="OpportunityTable" ref="A1:AC51" headerRowCount="1" totalsRowCount="0" totalsRowShown="0">
  <x:tableColumns count="29">
    <x:tableColumn id="1" name="ID"/>
    <x:tableColumn id="2" name="Cluster"/>
    <x:tableColumn id="3" name="Product concept"/>
    <x:tableColumn id="4" name="Target customer"/>
    <x:tableColumn id="5" name="Recommended format"/>
    <x:tableColumn id="6" name="Differentiation / niche angle"/>
    <x:tableColumn id="7" name="Draft Etsy title"/>
    <x:tableColumn id="8" name="Suggested category path"/>
    <x:tableColumn id="9" name="13 Etsy tags (draft)"/>
    <x:tableColumn id="10" name="What to include"/>
    <x:tableColumn id="11" name="Cover / listing-image concept"/>
    <x:tableColumn id="12" name="Buyer appeal / promise"/>
    <x:tableColumn id="13" name="Why this could work"/>
    <x:tableColumn id="14" name="Agentic production workflow"/>
    <x:tableColumn id="15" name="Competition estimate (1=low, 5=high)"/>
    <x:tableColumn id="16" name="Demand signal (1-5)"/>
    <x:tableColumn id="17" name="Purchase intent (1-5)"/>
    <x:tableColumn id="18" name="White-space potential (1-5)"/>
    <x:tableColumn id="19" name="AI-agent production fit (1-5)"/>
    <x:tableColumn id="20" name="Pricing potential (1-5)"/>
    <x:tableColumn id="21" name="Evergreen potential (1-5)"/>
    <x:tableColumn id="22" name="Opportunity score (formula)"/>
    <x:tableColumn id="23" name="Illustrative price range (USD)"/>
    <x:tableColumn id="24" name="Validation query 1"/>
    <x:tableColumn id="25" name="Validation query 2"/>
    <x:tableColumn id="26" name="Evidence link"/>
    <x:tableColumn id="27" name="Evidence interpretation"/>
    <x:tableColumn id="28" name="Risk / human QA"/>
    <x:tableColumn id="29" name="Opportunity 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EvidenceTable" displayName="CompetitorEvidenceTable" ref="A1:F23" headerRowCount="1" totalsRowCount="0" totalsRowShown="0">
  <x:tableColumns count="6">
    <x:tableColumn id="1" name="Niche / category"/>
    <x:tableColumn id="2" name="Observed listing or signal"/>
    <x:tableColumn id="3" name="Displayed facts at snapshot"/>
    <x:tableColumn id="4" name="Timing / context"/>
    <x:tableColumn id="5" name="Research interpretation"/>
    <x:tableColumn id="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ValidationTable" displayName="KeywordValidationTable" ref="A1:L101" headerRowCount="1" totalsRowCount="0" totalsRowShown="0">
  <x:tableColumns count="12">
    <x:tableColumn id="1" name="Product ID"/>
    <x:tableColumn id="2" name="Product concept"/>
    <x:tableColumn id="3" name="Keyword to test"/>
    <x:tableColumn id="4" name="Search intent hypothesis"/>
    <x:tableColumn id="5" name="Checked date"/>
    <x:tableColumn id="6" name="Marketplace Insights searches"/>
    <x:tableColumn id="7" name="Matching listing count"/>
    <x:tableColumn id="8" name="Trend (rising/flat/falling)"/>
    <x:tableColumn id="9" name="Top competitor price + review/sales clues"/>
    <x:tableColumn id="10" name="Gap noticed in top results"/>
    <x:tableColumn id="11" name="Decision (test / refine / park)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entWorkflowTable" displayName="AgentWorkflowTable" ref="A1:C10" headerRowCount="1" totalsRowCount="0" totalsRowShown="0">
  <x:tableColumns count="3">
    <x:tableColumn id="1" name="Stage"/>
    <x:tableColumn id="2" name="Agent responsibility"/>
    <x:tableColumn id="3" name="Guardrails / acceptance criter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MethodTable" displayName="SourcesMethodTable" ref="A3:D15" headerRowCount="1" totalsRowCount="0" totalsRowShown="0">
  <x:tableColumns count="4">
    <x:tableColumn id="1" name="Ref"/>
    <x:tableColumn id="2" name="Source / field"/>
    <x:tableColumn id="3" name="URL or value"/>
    <x:tableColumn id="4" name="Use /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901b23fbf44e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2dae3983f7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c09256ea164a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7107da1f4e43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7e8d7bdb064e1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25" hidden="0" customWidth="1"/>
    <x:col min="5" max="5" width="18" hidden="0" customWidth="1"/>
    <x:col min="6" max="6" width="18" hidden="0" customWidth="1"/>
    <x:col min="7" max="7" width="28" hidden="0" customWidth="1"/>
    <x:col min="8" max="8" width="50" hidden="0" customWidth="1"/>
  </x:cols>
  <x:sheetData>
    <x:row r="1" ht="34" customHeight="1">
      <x:c r="A1" s="90" t="str">
        <x:v>ETSY DIGITAL PRODUCT OPPORTUNITY RESEARCH | 19 OCT 2026</x:v>
      </x:c>
      <x:c r="B1" s="90"/>
      <x:c r="C1" s="90"/>
      <x:c r="D1" s="90"/>
      <x:c r="E1" s="90"/>
      <x:c r="F1" s="90"/>
      <x:c r="G1" s="90"/>
      <x:c r="H1" s="90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</x:row>
    <x:row r="2" ht="26" customHeight="1">
      <x:c r="A2" s="66" t="str">
        <x:v>50 AI-agent-friendly product hypotheses • public Etsy competitor sample • validation-first ranking</x:v>
      </x:c>
      <x:c r="B2" s="66"/>
      <x:c r="C2" s="66"/>
      <x:c r="D2" s="66"/>
      <x:c r="E2" s="66"/>
      <x:c r="F2" s="66"/>
      <x:c r="G2" s="66"/>
      <x:c r="H2" s="66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  <x:c r="AC3" s="65"/>
    </x:row>
    <x:row r="4">
      <x:c r="A4" s="92" t="str">
        <x:v>What is measured</x:v>
      </x:c>
      <x:c r="B4" s="92" t="str">
        <x:v>Finding</x:v>
      </x:c>
      <x:c r="C4" s="92" t="str">
        <x:v>Interpretation</x:v>
      </x:c>
      <x:c r="D4" s="92" t="str">
        <x:v>Confidence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  <x:c r="AA4" s="65"/>
      <x:c r="AB4" s="65"/>
      <x:c r="AC4" s="65"/>
    </x:row>
    <x:row r="5" ht="56" customHeight="1">
      <x:c r="A5" s="68" t="str">
        <x:v>Latest Etsy trend signal</x:v>
      </x:c>
      <x:c r="B5" s="68" t="str">
        <x:v>DIY activities +8,500%; personalised friend gifts +1,400%; Friendsmas sales +37%; pet-gifting searches doubled</x:v>
      </x:c>
      <x:c r="C5" s="68" t="str">
        <x:v>Useful audience/context signals as reported by Etsy for the three months ending 14 Sep 2026; not direct digital-download sales data.</x:v>
      </x:c>
      <x:c r="D5" s="68" t="str">
        <x:v>High for reported Etsy trend; indirect for printables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  <x:c r="AC5" s="65"/>
    </x:row>
    <x:row r="6" ht="56" customHeight="1">
      <x:c r="A6" s="68" t="str">
        <x:v>Competitor sample</x:v>
      </x:c>
      <x:c r="B6" s="68" t="str">
        <x:v>Public listing snapshots across home binders, caregiver tools, pet instructions, Airbnb guides, teachers, book clubs, weddings, RV, homeschool and service-business kits</x:v>
      </x:c>
      <x:c r="C6" s="68" t="str">
        <x:v>Evidence that parent categories contain buyers and competitors. Displayed prices/reviews are snapshots and can change.</x:v>
      </x:c>
      <x:c r="D6" s="68" t="str">
        <x:v>Moderate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5"/>
      <x:c r="AC6" s="65"/>
    </x:row>
    <x:row r="7" ht="56" customHeight="1">
      <x:c r="A7" s="68" t="str">
        <x:v>Search volume + competition</x:v>
      </x:c>
      <x:c r="B7" s="68" t="str">
        <x:v>Exact current Etsy Marketplace Insights query counts were not available in this research session</x:v>
      </x:c>
      <x:c r="C7" s="68" t="str">
        <x:v>All demand/competition scores are qualitative proxies. Log actual search counts and listing volume in the Keyword Validation tab before investing heavily.</x:v>
      </x:c>
      <x:c r="D7" s="68" t="str">
        <x:v>Not yet verified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  <x:c r="AC7" s="65"/>
    </x:row>
    <x:row r="8" ht="56" customHeight="1">
      <x:c r="A8" s="68" t="str">
        <x:v>Best strategy</x:v>
      </x:c>
      <x:c r="B8" s="68" t="str">
        <x:v>Build a specific workflow product, not a generic mega-bundle</x:v>
      </x:c>
      <x:c r="C8" s="68" t="str">
        <x:v>Prefer high-intent operational packs for defined buyers; make sample pages readable and show exactly what is included.</x:v>
      </x:c>
      <x:c r="D8" s="68" t="str">
        <x:v>Strategic recommendation</x:v>
      </x:c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5"/>
      <x:c r="AC8" s="65"/>
    </x:row>
    <x:row r="9" ht="56" customHeight="1">
      <x:c r="A9" s="68" t="str">
        <x:v>AI policy</x:v>
      </x:c>
      <x:c r="B9" s="68" t="str">
        <x:v>Etsy allows seller-prompted AI creations but requires disclosure; AI prompt bundles are not allowed as designed-by-seller digital products</x:v>
      </x:c>
      <x:c r="C9" s="68" t="str">
        <x:v>Use agents to create original finished templates/content; keep a human review and disclosure gate.</x:v>
      </x:c>
      <x:c r="D9" s="68" t="str">
        <x:v>High; see policy link</x:v>
      </x:c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  <x:c r="AC9" s="65"/>
    </x:row>
    <x:row r="10" ht="56" customHeight="1">
      <x:c r="A10" s="68" t="str">
        <x:v>Commercial realism</x:v>
      </x:c>
      <x:c r="B10" s="68" t="str">
        <x:v>No idea is a guaranteed low-competition or high-sales winner</x:v>
      </x:c>
      <x:c r="C10" s="68" t="str">
        <x:v>Treat scores as a prioritisation system. Validate keywords, build 3–5 MVP products, measure search visits/favorites/conversion, and iterate.</x:v>
      </x:c>
      <x:c r="D10" s="68" t="str">
        <x:v>Essential caveat</x:v>
      </x:c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  <x:c r="AC11" s="65"/>
    </x:row>
    <x:row r="12">
      <x:c r="A12" s="94" t="str">
        <x:v>Recommended launch shortlist (qualitative score; not a sales forecast)</x:v>
      </x:c>
      <x:c r="B12" s="94"/>
      <x:c r="C12" s="94"/>
      <x:c r="D12" s="94"/>
      <x:c r="E12" s="94"/>
      <x:c r="F12" s="94"/>
      <x:c r="G12" s="94"/>
      <x:c r="H12" s="94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5"/>
      <x:c r="AC12" s="65"/>
    </x:row>
    <x:row r="13">
      <x:c r="A13" s="96" t="str">
        <x:v>Rank</x:v>
      </x:c>
      <x:c r="B13" s="96" t="str">
        <x:v>Product concept</x:v>
      </x:c>
      <x:c r="C13" s="96" t="str">
        <x:v>Score / 100</x:v>
      </x:c>
      <x:c r="D13" s="96" t="str">
        <x:v>Why test first</x:v>
      </x:c>
      <x:c r="E13" s="96" t="str">
        <x:v>Competition (1–5)</x:v>
      </x:c>
      <x:c r="F13" s="96" t="str">
        <x:v>Price range</x:v>
      </x:c>
      <x:c r="G13" s="96" t="str">
        <x:v>First validation phrase</x:v>
      </x:c>
      <x:c r="H13" s="96" t="str">
        <x:v>Evidence / caveat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5"/>
      <x:c r="AC13" s="65"/>
    </x:row>
    <x:row r="14" ht="62" customHeight="1">
      <x:c r="A14" s="68" t="n">
        <x:v>1</x:v>
      </x:c>
      <x:c r="B14" s="68" t="str">
        <x:v>Mobile dog groomer client and route kit</x:v>
      </x:c>
      <x:c r="C14" s="68" t="n">
        <x:v>87</x:v>
      </x:c>
      <x:c r="D14" s="68" t="str">
        <x:v>Combines service delivery, route planning and repeat-business tracking for a specific mobile trade.</x:v>
      </x:c>
      <x:c r="E14" s="68" t="n">
        <x:v>2</x:v>
      </x:c>
      <x:c r="F14" s="68" t="str">
        <x:v>US$18-35</x:v>
      </x:c>
      <x:c r="G14" s="68" t="str">
        <x:v>mobile dog grooming</x:v>
      </x:c>
      <x:c r="H14" s="68" t="str">
        <x:v>The mobile-detailing category demonstrates buyers for trade-specific forms; dog-groomer exact competition is unverified.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5"/>
      <x:c r="AC14" s="65"/>
    </x:row>
    <x:row r="15" ht="62" customHeight="1">
      <x:c r="A15" s="68" t="n">
        <x:v>2</x:v>
      </x:c>
      <x:c r="B15" s="68" t="str">
        <x:v>Short-term rental maintenance handoff for cabin systems</x:v>
      </x:c>
      <x:c r="C15" s="68" t="n">
        <x:v>87</x:v>
      </x:c>
      <x:c r="D15" s="68" t="str">
        <x:v>Supports repeat operations for a property with more equipment and seasonal maintenance than a city apartment.</x:v>
      </x:c>
      <x:c r="E15" s="68" t="n">
        <x:v>2</x:v>
      </x:c>
      <x:c r="F15" s="68" t="str">
        <x:v>US$15-30</x:v>
      </x:c>
      <x:c r="G15" s="68" t="str">
        <x:v>cabin maintenance log</x:v>
      </x:c>
      <x:c r="H15" s="68" t="str">
        <x:v>Micro-niche hypothesis; test by searching exact system terms and surveying hosts.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5"/>
      <x:c r="AC15" s="65"/>
    </x:row>
    <x:row r="16" ht="62" customHeight="1">
      <x:c r="A16" s="68" t="n">
        <x:v>3</x:v>
      </x:c>
      <x:c r="B16" s="68" t="str">
        <x:v>Private music teacher studio operations kit</x:v>
      </x:c>
      <x:c r="C16" s="68" t="n">
        <x:v>85</x:v>
      </x:c>
      <x:c r="D16" s="68" t="str">
        <x:v>Saves admin time for a sole teacher and helps communicate progress to families.</x:v>
      </x:c>
      <x:c r="E16" s="68" t="n">
        <x:v>2</x:v>
      </x:c>
      <x:c r="F16" s="68" t="str">
        <x:v>US$12-26</x:v>
      </x:c>
      <x:c r="G16" s="68" t="str">
        <x:v>music teacher forms</x:v>
      </x:c>
      <x:c r="H16" s="68" t="str">
        <x:v>Teacher template category is established; private-studio operational combination is a hypothesis.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</x:row>
    <x:row r="17" ht="62" customHeight="1">
      <x:c r="A17" s="68" t="n">
        <x:v>4</x:v>
      </x:c>
      <x:c r="B17" s="68" t="str">
        <x:v>Beginner sewing fit and alteration journal</x:v>
      </x:c>
      <x:c r="C17" s="68" t="n">
        <x:v>84</x:v>
      </x:c>
      <x:c r="D17" s="68" t="str">
        <x:v>Helps sewists avoid repeating trial-and-error and builds a personal knowledge base for future makes.</x:v>
      </x:c>
      <x:c r="E17" s="68" t="n">
        <x:v>2</x:v>
      </x:c>
      <x:c r="F17" s="68" t="str">
        <x:v>US$5-12</x:v>
      </x:c>
      <x:c r="G17" s="68" t="str">
        <x:v>sewing fit journal</x:v>
      </x:c>
      <x:c r="H17" s="68" t="str">
        <x:v>Official craft trend supports the parent audience; exact journal demand needs validation.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5"/>
      <x:c r="AC17" s="65"/>
    </x:row>
    <x:row r="18" ht="62" customHeight="1">
      <x:c r="A18" s="68" t="n">
        <x:v>5</x:v>
      </x:c>
      <x:c r="B18" s="68" t="str">
        <x:v>Senior-pet multi-caregiver handoff kit</x:v>
      </x:c>
      <x:c r="C18" s="68" t="n">
        <x:v>83</x:v>
      </x:c>
      <x:c r="D18" s="68" t="str">
        <x:v>Reduces repeated explanations and makes it easier for family members/sitters to follow the owner's instructions consistently.</x:v>
      </x:c>
      <x:c r="E18" s="68" t="n">
        <x:v>3</x:v>
      </x:c>
      <x:c r="F18" s="68" t="str">
        <x:v>US$9-15</x:v>
      </x:c>
      <x:c r="G18" s="68" t="str">
        <x:v>senior pet care binder</x:v>
      </x:c>
      <x:c r="H18" s="68" t="str">
        <x:v>Adjacent competitor: a senior dog care binder is listed; focus on the handoff workflow rather than claiming the category is empty.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5"/>
      <x:c r="AC18" s="65"/>
    </x:row>
    <x:row r="19" ht="62" customHeight="1">
      <x:c r="A19" s="68" t="n">
        <x:v>6</x:v>
      </x:c>
      <x:c r="B19" s="68" t="str">
        <x:v>No-tech substitute teacher activity pack</x:v>
      </x:c>
      <x:c r="C19" s="68" t="n">
        <x:v>83</x:v>
      </x:c>
      <x:c r="D19" s="68" t="str">
        <x:v>Offers a time-saving, practical backup when a substitute does not know the class or has limited resources.</x:v>
      </x:c>
      <x:c r="E19" s="68" t="n">
        <x:v>3</x:v>
      </x:c>
      <x:c r="F19" s="68" t="str">
        <x:v>US$9-18</x:v>
      </x:c>
      <x:c r="G19" s="68" t="str">
        <x:v>no tech sub plans</x:v>
      </x:c>
      <x:c r="H19" s="68" t="str">
        <x:v>Teacher planning is established; this niche needs educator QA and keyword validation.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5"/>
      <x:c r="AC19" s="65"/>
    </x:row>
    <x:row r="20" ht="62" customHeight="1">
      <x:c r="A20" s="68" t="n">
        <x:v>7</x:v>
      </x:c>
      <x:c r="B20" s="68" t="str">
        <x:v>Podcast guest onboarding and episode production kit</x:v>
      </x:c>
      <x:c r="C20" s="68" t="n">
        <x:v>83</x:v>
      </x:c>
      <x:c r="D20" s="68" t="str">
        <x:v>Turns a repeatable production process into a small system and saves creators from recreating checklists for each episode.</x:v>
      </x:c>
      <x:c r="E20" s="68" t="n">
        <x:v>2</x:v>
      </x:c>
      <x:c r="F20" s="68" t="str">
        <x:v>US$12-27</x:v>
      </x:c>
      <x:c r="G20" s="68" t="str">
        <x:v>podcast guest workflow</x:v>
      </x:c>
      <x:c r="H20" s="68" t="str">
        <x:v>Whitespace hypothesis; do a direct listing audit and keyword check.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5"/>
      <x:c r="AC20" s="65"/>
    </x:row>
    <x:row r="21" ht="62" customHeight="1">
      <x:c r="A21" s="68" t="n">
        <x:v>8</x:v>
      </x:c>
      <x:c r="B21" s="68" t="str">
        <x:v>Mobile mechanic customer-ready vehicle report</x:v>
      </x:c>
      <x:c r="C21" s="68" t="n">
        <x:v>83</x:v>
      </x:c>
      <x:c r="D21" s="68" t="str">
        <x:v>Gives a mobile operator consistent customer-facing records and faster follow-up.</x:v>
      </x:c>
      <x:c r="E21" s="68" t="n">
        <x:v>2</x:v>
      </x:c>
      <x:c r="F21" s="68" t="str">
        <x:v>US$15-29</x:v>
      </x:c>
      <x:c r="G21" s="68" t="str">
        <x:v>mobile mechanic form</x:v>
      </x:c>
      <x:c r="H21" s="68" t="str">
        <x:v>Adjacent automotive business-template evidence; compliance and exact demand need review.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</x:row>
    <x:row r="22" ht="62" customHeight="1">
      <x:c r="A22" s="68" t="n">
        <x:v>9</x:v>
      </x:c>
      <x:c r="B22" s="68" t="str">
        <x:v>Solar and home-battery owner log</x:v>
      </x:c>
      <x:c r="C22" s="68" t="n">
        <x:v>82</x:v>
      </x:c>
      <x:c r="D22" s="68" t="str">
        <x:v>A higher-utility record system for a costly household asset; helps keep paperwork and service history discoverable.</x:v>
      </x:c>
      <x:c r="E22" s="68" t="n">
        <x:v>2</x:v>
      </x:c>
      <x:c r="F22" s="68" t="str">
        <x:v>US$12-22</x:v>
      </x:c>
      <x:c r="G22" s="68" t="str">
        <x:v>solar battery maintenance log</x:v>
      </x:c>
      <x:c r="H22" s="68" t="str">
        <x:v>Adjacent home-maintenance category evidence; exact solar+battery competition must be measured.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5"/>
      <x:c r="AC22" s="65"/>
    </x:row>
    <x:row r="23" ht="62" customHeight="1">
      <x:c r="A23" s="68" t="n">
        <x:v>10</x:v>
      </x:c>
      <x:c r="B23" s="68" t="str">
        <x:v>Foster-to-adoption pet transition passport</x:v>
      </x:c>
      <x:c r="C23" s="68" t="n">
        <x:v>81</x:v>
      </x:c>
      <x:c r="D23" s="68" t="str">
        <x:v>Keeps useful routine knowledge from being lost at handover and gives adopters a practical first-week plan.</x:v>
      </x:c>
      <x:c r="E23" s="68" t="n">
        <x:v>2</x:v>
      </x:c>
      <x:c r="F23" s="68" t="str">
        <x:v>US$8-14</x:v>
      </x:c>
      <x:c r="G23" s="68" t="str">
        <x:v>pet foster transition</x:v>
      </x:c>
      <x:c r="H23" s="68" t="str">
        <x:v>Adjacent competitor: generic pet sitter instructions; exact foster-transition gap is a hypothesis.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5"/>
      <x:c r="AC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5"/>
      <x:c r="AC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5"/>
      <x:c r="AC25" s="65"/>
    </x:row>
    <x:row r="26">
      <x:c r="A26" s="69" t="str">
        <x:v>How to read the score</x:v>
      </x:c>
      <x:c r="B26" s="69"/>
      <x:c r="C26" s="69"/>
      <x:c r="D26" s="69"/>
      <x:c r="E26" s="69"/>
      <x:c r="F26" s="69"/>
      <x:c r="G26" s="69"/>
      <x:c r="H26" s="69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5"/>
      <x:c r="AC26" s="65"/>
    </x:row>
    <x:row r="27" ht="35" customHeight="1">
      <x:c r="A27" s="71" t="str">
        <x:v>Opportunity Score = weighted qualitative blend: demand signal 25%, purchase intent 20%, white-space differentiation 20%, AI production fit 15%, pricing potential 10%, evergreen potential 10%, minus a competition penalty (3 points for each competition point above 1). Scores help prioritise which ideas to validate first; they are not measured Etsy search volume, conversion rates, profit forecasts or guarantees.</x:v>
      </x:c>
      <x:c r="B27" s="71"/>
      <x:c r="C27" s="71"/>
      <x:c r="D27" s="71"/>
      <x:c r="E27" s="71"/>
      <x:c r="F27" s="71"/>
      <x:c r="G27" s="71"/>
      <x:c r="H27" s="71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5"/>
      <x:c r="AC27" s="65"/>
    </x:row>
    <x:row r="28" ht="35" customHeight="1">
      <x:c r="A28" s="71"/>
      <x:c r="B28" s="71"/>
      <x:c r="C28" s="71"/>
      <x:c r="D28" s="71"/>
      <x:c r="E28" s="71"/>
      <x:c r="F28" s="71"/>
      <x:c r="G28" s="71"/>
      <x:c r="H28" s="71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5"/>
      <x:c r="AC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5"/>
      <x:c r="AC29" s="65"/>
    </x:row>
    <x:row r="30">
      <x:c r="A30" s="69" t="str">
        <x:v>Priority recommendation</x:v>
      </x:c>
      <x:c r="B30" s="69"/>
      <x:c r="C30" s="69"/>
      <x:c r="D30" s="69"/>
      <x:c r="E30" s="69"/>
      <x:c r="F30" s="69"/>
      <x:c r="G30" s="69"/>
      <x:c r="H30" s="69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5"/>
      <x:c r="AC30" s="65"/>
    </x:row>
    <x:row r="31" ht="28" customHeight="1">
      <x:c r="A31" s="72" t="str">
        <x:v>Start with 3–5 products across different intent types: (1) one operational spreadsheet for a specialist service business, (2) one household/property record system, (3) one pet/family handoff pack, and (4) one seasonal party or craft kit timed ahead of the buying window. Build one excellent core product and a matching mini-product/bundle before creating dozens of variants.</x:v>
      </x:c>
      <x:c r="B31" s="72"/>
      <x:c r="C31" s="72"/>
      <x:c r="D31" s="72"/>
      <x:c r="E31" s="72"/>
      <x:c r="F31" s="72"/>
      <x:c r="G31" s="72"/>
      <x:c r="H31" s="72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5"/>
      <x:c r="AC31" s="65"/>
    </x:row>
    <x:row r="32" ht="28" customHeight="1">
      <x:c r="A32" s="72"/>
      <x:c r="B32" s="72"/>
      <x:c r="C32" s="72"/>
      <x:c r="D32" s="72"/>
      <x:c r="E32" s="72"/>
      <x:c r="F32" s="72"/>
      <x:c r="G32" s="72"/>
      <x:c r="H32" s="72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5"/>
      <x:c r="AC32" s="65"/>
    </x:row>
    <x:row r="33" ht="28" customHeight="1">
      <x:c r="A33" s="72"/>
      <x:c r="B33" s="72"/>
      <x:c r="C33" s="72"/>
      <x:c r="D33" s="72"/>
      <x:c r="E33" s="72"/>
      <x:c r="F33" s="72"/>
      <x:c r="G33" s="72"/>
      <x:c r="H33" s="72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5"/>
      <x:c r="AC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5"/>
      <x:c r="AC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5"/>
      <x:c r="AC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5"/>
      <x:c r="AC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5"/>
      <x:c r="AC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5"/>
      <x:c r="AC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5"/>
      <x:c r="AC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5"/>
      <x:c r="AC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5"/>
      <x:c r="AC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5"/>
      <x:c r="AC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5"/>
      <x:c r="AC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5"/>
      <x:c r="AC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5"/>
      <x:c r="AC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5"/>
      <x:c r="AC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5"/>
      <x:c r="AC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5"/>
      <x:c r="AC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mergeCells>
    <x:mergeCell ref="A1:H1"/>
    <x:mergeCell ref="A2:H2"/>
    <x:mergeCell ref="A12:H12"/>
    <x:mergeCell ref="A26:H26"/>
    <x:mergeCell ref="A27:H28"/>
    <x:mergeCell ref="A30:H30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6" hidden="0" customWidth="1"/>
    <x:col min="2" max="2" width="24" hidden="0" customWidth="1"/>
    <x:col min="3" max="3" width="34" hidden="0" customWidth="1"/>
    <x:col min="4" max="4" width="34" hidden="0" customWidth="1"/>
    <x:col min="5" max="5" width="28" hidden="0" customWidth="1"/>
    <x:col min="6" max="6" width="42" hidden="0" customWidth="1"/>
    <x:col min="7" max="7" width="44" hidden="0" customWidth="1"/>
    <x:col min="8" max="8" width="36" hidden="0" customWidth="1"/>
    <x:col min="9" max="9" width="42" hidden="0" customWidth="1"/>
    <x:col min="10" max="10" width="52" hidden="0" customWidth="1"/>
    <x:col min="11" max="11" width="48" hidden="0" customWidth="1"/>
    <x:col min="12" max="12" width="42" hidden="0" customWidth="1"/>
    <x:col min="13" max="13" width="50" hidden="0" customWidth="1"/>
    <x:col min="14" max="14" width="58" hidden="0" customWidth="1"/>
    <x:col min="15" max="15" width="17" hidden="0" customWidth="1"/>
    <x:col min="16" max="16" width="15" hidden="0" customWidth="1"/>
    <x:col min="17" max="17" width="15" hidden="0" customWidth="1"/>
    <x:col min="18" max="18" width="18" hidden="0" customWidth="1"/>
    <x:col min="19" max="19" width="19" hidden="0" customWidth="1"/>
    <x:col min="20" max="20" width="17" hidden="0" customWidth="1"/>
    <x:col min="21" max="21" width="17" hidden="0" customWidth="1"/>
    <x:col min="22" max="22" width="17" hidden="0" customWidth="1"/>
    <x:col min="23" max="23" width="19" hidden="0" customWidth="1"/>
    <x:col min="24" max="24" width="26" hidden="0" customWidth="1"/>
    <x:col min="25" max="25" width="26" hidden="0" customWidth="1"/>
    <x:col min="26" max="26" width="45" hidden="0" customWidth="1"/>
    <x:col min="27" max="27" width="50" hidden="0" customWidth="1"/>
    <x:col min="28" max="28" width="52" hidden="0" customWidth="1"/>
    <x:col min="29" max="29" width="25" hidden="0" customWidth="1"/>
  </x:cols>
  <x:sheetData>
    <x:row r="1" ht="38" customHeight="1">
      <x:c r="A1" s="98" t="str">
        <x:v>ID</x:v>
      </x:c>
      <x:c r="B1" s="98" t="str">
        <x:v>Cluster</x:v>
      </x:c>
      <x:c r="C1" s="98" t="str">
        <x:v>Product concept</x:v>
      </x:c>
      <x:c r="D1" s="98" t="str">
        <x:v>Target customer</x:v>
      </x:c>
      <x:c r="E1" s="98" t="str">
        <x:v>Recommended format</x:v>
      </x:c>
      <x:c r="F1" s="98" t="str">
        <x:v>Differentiation / niche angle</x:v>
      </x:c>
      <x:c r="G1" s="98" t="str">
        <x:v>Draft Etsy title</x:v>
      </x:c>
      <x:c r="H1" s="98" t="str">
        <x:v>Suggested category path</x:v>
      </x:c>
      <x:c r="I1" s="98" t="str">
        <x:v>13 Etsy tags (draft)</x:v>
      </x:c>
      <x:c r="J1" s="98" t="str">
        <x:v>What to include</x:v>
      </x:c>
      <x:c r="K1" s="98" t="str">
        <x:v>Cover / listing-image concept</x:v>
      </x:c>
      <x:c r="L1" s="98" t="str">
        <x:v>Buyer appeal / promise</x:v>
      </x:c>
      <x:c r="M1" s="98" t="str">
        <x:v>Why this could work</x:v>
      </x:c>
      <x:c r="N1" s="98" t="str">
        <x:v>Agentic production workflow</x:v>
      </x:c>
      <x:c r="O1" s="98" t="str">
        <x:v>Competition estimate (1=low, 5=high)</x:v>
      </x:c>
      <x:c r="P1" s="98" t="str">
        <x:v>Demand signal (1-5)</x:v>
      </x:c>
      <x:c r="Q1" s="98" t="str">
        <x:v>Purchase intent (1-5)</x:v>
      </x:c>
      <x:c r="R1" s="98" t="str">
        <x:v>White-space potential (1-5)</x:v>
      </x:c>
      <x:c r="S1" s="98" t="str">
        <x:v>AI-agent production fit (1-5)</x:v>
      </x:c>
      <x:c r="T1" s="98" t="str">
        <x:v>Pricing potential (1-5)</x:v>
      </x:c>
      <x:c r="U1" s="98" t="str">
        <x:v>Evergreen potential (1-5)</x:v>
      </x:c>
      <x:c r="V1" s="98" t="str">
        <x:v>Opportunity score (formula)</x:v>
      </x:c>
      <x:c r="W1" s="98" t="str">
        <x:v>Illustrative price range (USD)</x:v>
      </x:c>
      <x:c r="X1" s="98" t="str">
        <x:v>Validation query 1</x:v>
      </x:c>
      <x:c r="Y1" s="98" t="str">
        <x:v>Validation query 2</x:v>
      </x:c>
      <x:c r="Z1" s="98" t="str">
        <x:v>Evidence link</x:v>
      </x:c>
      <x:c r="AA1" s="98" t="str">
        <x:v>Evidence interpretation</x:v>
      </x:c>
      <x:c r="AB1" s="98" t="str">
        <x:v>Risk / human QA</x:v>
      </x:c>
      <x:c r="AC1" s="98" t="str">
        <x:v>Opportunity class</x:v>
      </x:c>
    </x:row>
    <x:row r="2" ht="84" customHeight="1">
      <x:c r="A2" s="68" t="n">
        <x:v>1</x:v>
      </x:c>
      <x:c r="B2" s="68" t="str">
        <x:v>Pets &amp; family care</x:v>
      </x:c>
      <x:c r="C2" s="68" t="str">
        <x:v>Senior-pet multi-caregiver handoff kit</x:v>
      </x:c>
      <x:c r="D2" s="68" t="str">
        <x:v>Families sharing care of an older dog or cat; pet sitters and adult children</x:v>
      </x:c>
      <x:c r="E2" s="68" t="str">
        <x:v>Fillable PDF + printable binder</x:v>
      </x:c>
      <x:c r="F2" s="68" t="str">
        <x:v>Not another generic pet planner: focus on shift-to-shift handoffs, routines, observations and vet questions.</x:v>
      </x:c>
      <x:c r="G2" s="68" t="str">
        <x:v>Senior Pet Care Handoff Binder | Daily Routine, Medication Log &amp; Sitter Notes</x:v>
      </x:c>
      <x:c r="H2" s="68" t="str">
        <x:v>Paper &amp; Party Supplies &gt; Paper &gt; Templates</x:v>
      </x:c>
      <x:c r="I2" s="68" t="str">
        <x:v>senior dog care | pet care binder | pet sitter notes | caregiver handoff | medication log | vet visit tracker | dog routine chart | cat care planner | pet health log | pet sitter form | printable PDF | digital download | fillable PDF</x:v>
      </x:c>
      <x:c r="J2" s="68" t="str">
        <x:v>Pet profile and emergency contacts; owner-approved care routine; blank medication schedule for vet/owner completion; mobility/sensory notes; appetite and water observations; shift handoff; vet question list; printable wallet card.</x:v>
      </x:c>
      <x:c r="K2" s="68" t="str">
        <x:v>Warm neutral cover with a senior dog and cat silhouette; large subtitle 'EVERY CAREGIVER ON THE SAME PAGE'; show a readable handoff sheet, not a busy collage.</x:v>
      </x:c>
      <x:c r="L2" s="68" t="str">
        <x:v>Reduces repeated explanations and makes it easier for family members/sitters to follow the owner's instructions consistently.</x:v>
      </x:c>
      <x:c r="M2" s="68" t="str">
        <x:v>Senior-pet care planners exist, but the narrower shared-care handoff workflow is a plausible differentiator; recent senior-dog binder listings prove adjacent demand, not sales volume.</x:v>
      </x:c>
      <x:c r="N2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2" s="68" t="n">
        <x:v>3</x:v>
      </x:c>
      <x:c r="P2" s="68" t="n">
        <x:v>4</x:v>
      </x:c>
      <x:c r="Q2" s="68" t="n">
        <x:v>5</x:v>
      </x:c>
      <x:c r="R2" s="68" t="n">
        <x:v>4</x:v>
      </x:c>
      <x:c r="S2" s="68" t="n">
        <x:v>5</x:v>
      </x:c>
      <x:c r="T2" s="68" t="n">
        <x:v>4</x:v>
      </x:c>
      <x:c r="U2" s="68" t="n">
        <x:v>5</x:v>
      </x:c>
      <x:c r="V2" s="68" t="n">
        <x:f>ROUND((P2*0.25+Q2*0.20+R2*0.20+S2*0.15+T2*0.10+U2*0.10)*20-MAX(O2-1,0)*3,0)</x:f>
        <x:v>83</x:v>
      </x:c>
      <x:c r="W2" s="68" t="str">
        <x:v>US$9-15</x:v>
      </x:c>
      <x:c r="X2" s="68" t="str">
        <x:v>senior pet care binder</x:v>
      </x:c>
      <x:c r="Y2" s="68" t="str">
        <x:v>pet sitter handoff form</x:v>
      </x:c>
      <x:c r="Z2" s="68" t="str">
        <x:v>https://www.etsy.com/listing/4514191505/senior-dog-care-binder-health-mobility</x:v>
      </x:c>
      <x:c r="AA2" s="68" t="str">
        <x:v>Adjacent competitor: a senior dog care binder is listed; focus on the handoff workflow rather than claiming the category is empty.</x:v>
      </x:c>
      <x:c r="AB2" s="68" t="str">
        <x:v>Medication fields must be owner/vet-entered; no treatment advice, dose recommendations or medical outcome claims.</x:v>
      </x:c>
      <x:c r="AC2" s="68" t="str">
        <x:v>White-space hypothesis</x:v>
      </x:c>
    </x:row>
    <x:row r="3" ht="84" customHeight="1">
      <x:c r="A3" s="68" t="n">
        <x:v>2</x:v>
      </x:c>
      <x:c r="B3" s="68" t="str">
        <x:v>Pets &amp; family care</x:v>
      </x:c>
      <x:c r="C3" s="68" t="str">
        <x:v>Foster-to-adoption pet transition passport</x:v>
      </x:c>
      <x:c r="D3" s="68" t="str">
        <x:v>Animal foster carers, rescue volunteers and adopters</x:v>
      </x:c>
      <x:c r="E3" s="68" t="str">
        <x:v>Editable Canva kit + fillable PDF</x:v>
      </x:c>
      <x:c r="F3" s="68" t="str">
        <x:v>A continuity passport for a pet moving from foster home to permanent home, not a standard pet-sitter sheet.</x:v>
      </x:c>
      <x:c r="G3" s="68" t="str">
        <x:v>Pet Foster to Adoption Transition Pack | Routine, Triggers &amp; Care Passport</x:v>
      </x:c>
      <x:c r="H3" s="68" t="str">
        <x:v>Paper &amp; Party Supplies &gt; Paper &gt; Templates</x:v>
      </x:c>
      <x:c r="I3" s="68" t="str">
        <x:v>pet foster form | adoption transition | rescue dog notes | pet routine sheet | foster care log | new pet checklist | pet profile | dog behavior notes | cat transition kit | rescue volunteer | Canva template | editable template | digital download</x:v>
      </x:c>
      <x:c r="J3" s="68" t="str">
        <x:v>Pet personality one-pager; feeding/routine notes; known comforts and stressors observed by carer; supplies checklist; house-training observations; vet/contact placeholders; first-week adopter checklist; question log for rescue coordinator.</x:v>
      </x:c>
      <x:c r="K3" s="68" t="str">
        <x:v>Two-page 'Meet Me' pet passport with photo frame and calm colours; preview the transfer checklist and first-week timeline.</x:v>
      </x:c>
      <x:c r="L3" s="68" t="str">
        <x:v>Keeps useful routine knowledge from being lost at handover and gives adopters a practical first-week plan.</x:v>
      </x:c>
      <x:c r="M3" s="68" t="str">
        <x:v>Specific rescue/foster-to-adopter workflow appears narrower than general pet-care products; exact search volume and listing count need validation.</x:v>
      </x:c>
      <x:c r="N3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3" s="68" t="n">
        <x:v>2</x:v>
      </x:c>
      <x:c r="P3" s="68" t="n">
        <x:v>3</x:v>
      </x:c>
      <x:c r="Q3" s="68" t="n">
        <x:v>4</x:v>
      </x:c>
      <x:c r="R3" s="68" t="n">
        <x:v>5</x:v>
      </x:c>
      <x:c r="S3" s="68" t="n">
        <x:v>5</x:v>
      </x:c>
      <x:c r="T3" s="68" t="n">
        <x:v>4</x:v>
      </x:c>
      <x:c r="U3" s="68" t="n">
        <x:v>5</x:v>
      </x:c>
      <x:c r="V3" s="68" t="n">
        <x:f>ROUND((P3*0.25+Q3*0.20+R3*0.20+S3*0.15+T3*0.10+U3*0.10)*20-MAX(O3-1,0)*3,0)</x:f>
        <x:v>81</x:v>
      </x:c>
      <x:c r="W3" s="68" t="str">
        <x:v>US$8-14</x:v>
      </x:c>
      <x:c r="X3" s="68" t="str">
        <x:v>pet foster transition</x:v>
      </x:c>
      <x:c r="Y3" s="68" t="str">
        <x:v>foster to adoption form</x:v>
      </x:c>
      <x:c r="Z3" s="68" t="str">
        <x:v>https://www.etsy.com/listing/1368003226/pet-sitter-instructions-cat-sitter</x:v>
      </x:c>
      <x:c r="AA3" s="68" t="str">
        <x:v>Adjacent competitor: generic pet sitter instructions; exact foster-transition gap is a hypothesis.</x:v>
      </x:c>
      <x:c r="AB3" s="68" t="str">
        <x:v>Avoid asserting diagnoses or labelling an animal as dangerous; observations should be factual and rescue-approved.</x:v>
      </x:c>
      <x:c r="AC3" s="68" t="str">
        <x:v>White-space hypothesis</x:v>
      </x:c>
    </x:row>
    <x:row r="4" ht="84" customHeight="1">
      <x:c r="A4" s="68" t="n">
        <x:v>3</x:v>
      </x:c>
      <x:c r="B4" s="68" t="str">
        <x:v>Pets &amp; family care</x:v>
      </x:c>
      <x:c r="C4" s="68" t="str">
        <x:v>Pet evacuation and reunification pack</x:v>
      </x:c>
      <x:c r="D4" s="68" t="str">
        <x:v>Pet owners in wildfire, flood, hurricane or evacuation-prone regions</x:v>
      </x:c>
      <x:c r="E4" s="68" t="str">
        <x:v>Printable PDF bundle + editable Canva pages</x:v>
      </x:c>
      <x:c r="F4" s="68" t="str">
        <x:v>Region-adaptable household readiness pack with pet ID, grab-and-go inventory and reunification details.</x:v>
      </x:c>
      <x:c r="G4" s="68" t="str">
        <x:v>Pet Emergency Evacuation Kit | ID Cards, Go-Bag Checklist &amp; Care Records</x:v>
      </x:c>
      <x:c r="H4" s="68" t="str">
        <x:v>Paper &amp; Party Supplies &gt; Paper &gt; Templates</x:v>
      </x:c>
      <x:c r="I4" s="68" t="str">
        <x:v>pet emergency kit | pet evacuation plan | dog id card | cat emergency plan | pet go bag | pet records | lost pet flyer | emergency contacts | animal evacuation | pet travel checklist | Canva template | editable template | digital download</x:v>
      </x:c>
      <x:c r="J4" s="68" t="str">
        <x:v>Pet ID card; owner-defined emergency contacts; microchip-record reminder; carrier/leash checklist; go-bag inventory; evacuation checklist; temporary-care handoff; photo record sheet; lost-pet poster template.</x:v>
      </x:c>
      <x:c r="K4" s="68" t="str">
        <x:v>High-contrast emergency cover with a dog/cat icon and a clear 'GRAB • GO • REUNITE' hierarchy; show ID card scale.</x:v>
      </x:c>
      <x:c r="L4" s="68" t="str">
        <x:v>Makes a stressful situation easier to prepare for before it happens, with pages that are reusable and easy to grab.</x:v>
      </x:c>
      <x:c r="M4" s="68" t="str">
        <x:v>Emergency preparedness is a strong practical trigger; pet-gifting searches doubled in Etsy's recent seasonal report but that does not directly validate this year-round printable.</x:v>
      </x:c>
      <x:c r="N4" s="68" t="str">
        <x:v>Research agent compares buyer language and listing gaps; content agent drafts page copy and information architecture; design agent builds original editable Canva layouts; QA agent checks legibility, mobile thumbnails and editability; mockup agent generates finished-product examples; listing agent writes a clear title, 13 relevant tags, file list and FAQ. Human seller approves final product, claims, rights and Etsy AI disclosure before publishing.</x:v>
      </x:c>
      <x:c r="O4" s="68" t="n">
        <x:v>3</x:v>
      </x:c>
      <x:c r="P4" s="68" t="n">
        <x:v>4</x:v>
      </x:c>
      <x:c r="Q4" s="68" t="n">
        <x:v>4</x:v>
      </x:c>
      <x:c r="R4" s="68" t="n">
        <x:v>4</x:v>
      </x:c>
      <x:c r="S4" s="68" t="n">
        <x:v>5</x:v>
      </x:c>
      <x:c r="T4" s="68" t="n">
        <x:v>4</x:v>
      </x:c>
      <x:c r="U4" s="68" t="n">
        <x:v>5</x:v>
      </x:c>
      <x:c r="V4" s="68" t="n">
        <x:f>ROUND((P4*0.25+Q4*0.20+R4*0.20+S4*0.15+T4*0.10+U4*0.10)*20-MAX(O4-1,0)*3,0)</x:f>
        <x:v>79</x:v>
      </x:c>
      <x:c r="W4" s="68" t="str">
        <x:v>US$7-13</x:v>
      </x:c>
      <x:c r="X4" s="68" t="str">
        <x:v>pet evacuation checklist</x:v>
      </x:c>
      <x:c r="Y4" s="68" t="str">
        <x:v>pet emergency binder</x:v>
      </x:c>
      <x:c r="Z4" s="68" t="str">
        <x:v>https://www.etsy.com/au/seller-handbook/article/1521255894814</x:v>
      </x:c>
      <x:c r="AA4" s="68" t="str">
        <x:v>Parent-category signal plus differentiation hypothesis; regionalized versions are likely the real product edge.</x:v>
      </x:c>
      <x:c r="AB4" s="68" t="str">
        <x:v>Local emergency guidance and animal-entry rules vary; keep checklists generic and link users to official local alerts rather than inventing rules.</x:v>
      </x:c>
      <x:c r="AC4" s="68" t="str">
        <x:v>White-space hypothesis</x:v>
      </x:c>
    </x:row>
    <x:row r="5" ht="84" customHeight="1">
      <x:c r="A5" s="68" t="n">
        <x:v>4</x:v>
      </x:c>
      <x:c r="B5" s="68" t="str">
        <x:v>Homeowner &amp; resilience</x:v>
      </x:c>
      <x:c r="C5" s="68" t="str">
        <x:v>Solar and home-battery owner log</x:v>
      </x:c>
      <x:c r="D5" s="68" t="str">
        <x:v>New solar/battery households, homeowners and property managers</x:v>
      </x:c>
      <x:c r="E5" s="68" t="str">
        <x:v>Spreadsheet + printable PDF quick-start pages</x:v>
      </x:c>
      <x:c r="F5" s="68" t="str">
        <x:v>Rarely served household documentation angle: warranty dates, installer handover, service history and outage observations in one place.</x:v>
      </x:c>
      <x:c r="G5" s="68" t="str">
        <x:v>Solar Panel &amp; Home Battery Log | Warranty, Service and System Records</x:v>
      </x:c>
      <x:c r="H5" s="68" t="str">
        <x:v>Paper &amp; Party Supplies &gt; Paper &gt; Templates</x:v>
      </x:c>
      <x:c r="I5" s="68" t="str">
        <x:v>home battery log | solar warranty | inverter tracker | energy system log | service history | homeowner binder | solar panel records | battery checklist | equipment register | Excel template | Google Sheets | fillable tracker | instant download</x:v>
      </x:c>
      <x:c r="J5" s="68" t="str">
        <x:v>System and installer details; serial/warranty register; service and inspection log; fault/outage observation log; document locator; approved shutdown/handover notes field; annual reminder calendar; energy-performance notes.</x:v>
      </x:c>
      <x:c r="K5" s="68" t="str">
        <x:v>Technical but friendly cover with simple solar/battery icon, clear promise 'KEEP EVERY SYSTEM RECORD TOGETHER'; show table preview.</x:v>
      </x:c>
      <x:c r="L5" s="68" t="str">
        <x:v>A higher-utility record system for a costly household asset; helps keep paperwork and service history discoverable.</x:v>
      </x:c>
      <x:c r="M5" s="68" t="str">
        <x:v>Specific asset ownership creates a problem-solving purchase trigger; broad public sampling found more home-maintenance binders than solar-battery owner logs, so this is an unverified white-space candidate.</x:v>
      </x:c>
      <x:c r="N5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5" s="68" t="n">
        <x:v>2</x:v>
      </x:c>
      <x:c r="P5" s="68" t="n">
        <x:v>3</x:v>
      </x:c>
      <x:c r="Q5" s="68" t="n">
        <x:v>5</x:v>
      </x:c>
      <x:c r="R5" s="68" t="n">
        <x:v>5</x:v>
      </x:c>
      <x:c r="S5" s="68" t="n">
        <x:v>4</x:v>
      </x:c>
      <x:c r="T5" s="68" t="n">
        <x:v>4</x:v>
      </x:c>
      <x:c r="U5" s="68" t="n">
        <x:v>5</x:v>
      </x:c>
      <x:c r="V5" s="68" t="n">
        <x:f>ROUND((P5*0.25+Q5*0.20+R5*0.20+S5*0.15+T5*0.10+U5*0.10)*20-MAX(O5-1,0)*3,0)</x:f>
        <x:v>82</x:v>
      </x:c>
      <x:c r="W5" s="68" t="str">
        <x:v>US$12-22</x:v>
      </x:c>
      <x:c r="X5" s="68" t="str">
        <x:v>solar battery maintenance log</x:v>
      </x:c>
      <x:c r="Y5" s="68" t="str">
        <x:v>solar warranty tracker</x:v>
      </x:c>
      <x:c r="Z5" s="68" t="str">
        <x:v>https://www.etsy.com/listing/935530423/printable-home-maintenance-binder</x:v>
      </x:c>
      <x:c r="AA5" s="68" t="str">
        <x:v>Adjacent home-maintenance category evidence; exact solar+battery competition must be measured.</x:v>
      </x:c>
      <x:c r="AB5" s="68" t="str">
        <x:v>Do not publish electrical instructions or safety procedures; record manufacturer/installer guidance only and advise users to follow qualified professionals.</x:v>
      </x:c>
      <x:c r="AC5" s="68" t="str">
        <x:v>White-space hypothesis</x:v>
      </x:c>
    </x:row>
    <x:row r="6" ht="84" customHeight="1">
      <x:c r="A6" s="68" t="n">
        <x:v>5</x:v>
      </x:c>
      <x:c r="B6" s="68" t="str">
        <x:v>Homeowner &amp; resilience</x:v>
      </x:c>
      <x:c r="C6" s="68" t="str">
        <x:v>Home insurance evidence-capture kit</x:v>
      </x:c>
      <x:c r="D6" s="68" t="str">
        <x:v>Homeowners and renters wanting organised records before a loss</x:v>
      </x:c>
      <x:c r="E6" s="68" t="str">
        <x:v>Fillable PDF + spreadsheet inventory</x:v>
      </x:c>
      <x:c r="F6" s="68" t="str">
        <x:v>Differentiate from a generic inventory with photo evidence workflow, room completion tracking and claim communication log.</x:v>
      </x:c>
      <x:c r="G6" s="68" t="str">
        <x:v>Home Inventory &amp; Insurance Evidence Kit | Room Photos, Asset Log &amp; Claim Tracker</x:v>
      </x:c>
      <x:c r="H6" s="68" t="str">
        <x:v>Paper &amp; Party Supplies &gt; Paper &gt; Templates</x:v>
      </x:c>
      <x:c r="I6" s="68" t="str">
        <x:v>home inventory log | insurance inventory | room inventory | asset register | warranty tracker | claim documentation | home records | contents checklist | photo inventory | household binder | Excel template | Google Sheets | fillable tracker</x:v>
      </x:c>
      <x:c r="J6" s="68" t="str">
        <x:v>Room-by-room inventory; photo naming checklist; receipts/warranty locator; serial-number field; claim timeline and call log; document checklist; high-value item register; annual refresh checklist.</x:v>
      </x:c>
      <x:c r="K6" s="68" t="str">
        <x:v>Show a room-by-room sample next to a photo checklist and claim timeline; clear headline 'DOCUMENT IT BEFORE YOU NEED IT'.</x:v>
      </x:c>
      <x:c r="L6" s="68" t="str">
        <x:v>Turns a vague task into a guided process with progress markers and reusable pages.</x:v>
      </x:c>
      <x:c r="M6" s="68" t="str">
        <x:v>Home inventory binders are clearly present, including 50-page products; compete on evidence workflow and ease of updating, not on page count alone.</x:v>
      </x:c>
      <x:c r="N6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6" s="68" t="n">
        <x:v>4</x:v>
      </x:c>
      <x:c r="P6" s="68" t="n">
        <x:v>4</x:v>
      </x:c>
      <x:c r="Q6" s="68" t="n">
        <x:v>5</x:v>
      </x:c>
      <x:c r="R6" s="68" t="n">
        <x:v>3</x:v>
      </x:c>
      <x:c r="S6" s="68" t="n">
        <x:v>5</x:v>
      </x:c>
      <x:c r="T6" s="68" t="n">
        <x:v>4</x:v>
      </x:c>
      <x:c r="U6" s="68" t="n">
        <x:v>5</x:v>
      </x:c>
      <x:c r="V6" s="68" t="n">
        <x:f>ROUND((P6*0.25+Q6*0.20+R6*0.20+S6*0.15+T6*0.10+U6*0.10)*20-MAX(O6-1,0)*3,0)</x:f>
        <x:v>76</x:v>
      </x:c>
      <x:c r="W6" s="68" t="str">
        <x:v>US$9-17</x:v>
      </x:c>
      <x:c r="X6" s="68" t="str">
        <x:v>home inventory insurance</x:v>
      </x:c>
      <x:c r="Y6" s="68" t="str">
        <x:v>insurance claim tracker</x:v>
      </x:c>
      <x:c r="Z6" s="68" t="str">
        <x:v>https://www.etsy.com/listing/4558485475/home-inventory-bundle-insurance-policy</x:v>
      </x:c>
      <x:c r="AA6" s="68" t="str">
        <x:v>Observed parent-market competitors; not low competition at broad keyword level.</x:v>
      </x:c>
      <x:c r="AB6" s="68" t="str">
        <x:v>No insurance, legal or claims-outcome guarantees; no sensitive real household data in listing mockups.</x:v>
      </x:c>
      <x:c r="AC6" s="68" t="str">
        <x:v>Evidence-backed parent niche</x:v>
      </x:c>
    </x:row>
    <x:row r="7" ht="84" customHeight="1">
      <x:c r="A7" s="68" t="n">
        <x:v>6</x:v>
      </x:c>
      <x:c r="B7" s="68" t="str">
        <x:v>Homeowner &amp; resilience</x:v>
      </x:c>
      <x:c r="C7" s="68" t="str">
        <x:v>Home systems and shutoff map binder</x:v>
      </x:c>
      <x:c r="D7" s="68" t="str">
        <x:v>First-time homeowners and households managing multiple property systems</x:v>
      </x:c>
      <x:c r="E7" s="68" t="str">
        <x:v>Printable PDF + editable diagram pages</x:v>
      </x:c>
      <x:c r="F7" s="68" t="str">
        <x:v>A home 'what is where?' manual for shutoffs, filters, panels, alarm codes location (not actual codes), appliance models and maintenance cadence.</x:v>
      </x:c>
      <x:c r="G7" s="68" t="str">
        <x:v>Home Systems Map Binder | Shutoff Locations, Filters &amp; Maintenance Log</x:v>
      </x:c>
      <x:c r="H7" s="68" t="str">
        <x:v>Paper &amp; Party Supplies &gt; Paper &gt; Templates</x:v>
      </x:c>
      <x:c r="I7" s="68" t="str">
        <x:v>home systems binder | shutoff map | home maintenance log | appliance records | filter schedule | homeowner organizer | house manual | utility contacts | home binder | repair history | printable PDF | digital download | fillable PDF</x:v>
      </x:c>
      <x:c r="J7" s="68" t="str">
        <x:v>Blank house map; water/gas/electric shutoff location record; filter sizes and replacement interval; appliance model/warranty log; contractor contact sheet; recurring maintenance tracker; repair-history pages.</x:v>
      </x:c>
      <x:c r="K7" s="68" t="str">
        <x:v>Minimal floor-plan illustration, labels and a sample filter log; use 'KNOW YOUR HOME' as the main hook.</x:v>
      </x:c>
      <x:c r="L7" s="68" t="str">
        <x:v>Gives new owners a reusable property memory system and reduces time spent searching for information.</x:v>
      </x:c>
      <x:c r="M7" s="68" t="str">
        <x:v>Home maintenance binder listings span low-cost to premium products; a systems-map-first format is a more concrete angle than another generic checklist.</x:v>
      </x:c>
      <x:c r="N7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7" s="68" t="n">
        <x:v>4</x:v>
      </x:c>
      <x:c r="P7" s="68" t="n">
        <x:v>4</x:v>
      </x:c>
      <x:c r="Q7" s="68" t="n">
        <x:v>4</x:v>
      </x:c>
      <x:c r="R7" s="68" t="n">
        <x:v>3</x:v>
      </x:c>
      <x:c r="S7" s="68" t="n">
        <x:v>5</x:v>
      </x:c>
      <x:c r="T7" s="68" t="n">
        <x:v>3</x:v>
      </x:c>
      <x:c r="U7" s="68" t="n">
        <x:v>5</x:v>
      </x:c>
      <x:c r="V7" s="68" t="n">
        <x:f>ROUND((P7*0.25+Q7*0.20+R7*0.20+S7*0.15+T7*0.10+U7*0.10)*20-MAX(O7-1,0)*3,0)</x:f>
        <x:v>70</x:v>
      </x:c>
      <x:c r="W7" s="68" t="str">
        <x:v>US$7-14</x:v>
      </x:c>
      <x:c r="X7" s="68" t="str">
        <x:v>home systems binder</x:v>
      </x:c>
      <x:c r="Y7" s="68" t="str">
        <x:v>home shutoff map</x:v>
      </x:c>
      <x:c r="Z7" s="68" t="str">
        <x:v>https://www.etsy.com/listing/4566231173/home-maintenance-binder-printable</x:v>
      </x:c>
      <x:c r="AA7" s="68" t="str">
        <x:v>Competitive parent category; whitespace rests on a stronger visual map and records workflow.</x:v>
      </x:c>
      <x:c r="AB7" s="68" t="str">
        <x:v>Never show actual lock codes, passwords or precise home-security details in examples; keep safety and utility information owner-entered.</x:v>
      </x:c>
      <x:c r="AC7" s="68" t="str">
        <x:v>White-space hypothesis</x:v>
      </x:c>
    </x:row>
    <x:row r="8" ht="84" customHeight="1">
      <x:c r="A8" s="68" t="n">
        <x:v>7</x:v>
      </x:c>
      <x:c r="B8" s="68" t="str">
        <x:v>Homeowner &amp; resilience</x:v>
      </x:c>
      <x:c r="C8" s="68" t="str">
        <x:v>New-build handover and defect tracker</x:v>
      </x:c>
      <x:c r="D8" s="68" t="str">
        <x:v>New-build buyers, apartment owners and owner-builders</x:v>
      </x:c>
      <x:c r="E8" s="68" t="str">
        <x:v>Editable spreadsheet + site-walk PDF</x:v>
      </x:c>
      <x:c r="F8" s="68" t="str">
        <x:v>Structured snag/defect observations, room photos, follow-up statuses and document handover, without pretending to be an inspection standard.</x:v>
      </x:c>
      <x:c r="G8" s="68" t="str">
        <x:v>New Build Handover Checklist | Defect Photo Log &amp; Follow-Up Tracker</x:v>
      </x:c>
      <x:c r="H8" s="68" t="str">
        <x:v>Paper &amp; Party Supplies &gt; Paper &gt; Templates</x:v>
      </x:c>
      <x:c r="I8" s="68" t="str">
        <x:v>new home checklist | handover checklist | defect tracker | snagging checklist | builder handover | home inspection log | new build planner | defect photo log | house walkthrough | property checklist | Excel template | Google Sheets | fillable tracker</x:v>
      </x:c>
      <x:c r="J8" s="68" t="str">
        <x:v>Room-by-room walkthrough; defect ID and photo log; date/status/owner fields; follow-up tracker; appliance manual list; warranty/document handover; questions-to-ask page; completion dashboard.</x:v>
      </x:c>
      <x:c r="K8" s="68" t="str">
        <x:v>A clean clipboard mockup with defect IDs and a photo grid; thumbnail text: 'WALK THROUGH. LOG IT. FOLLOW UP.'</x:v>
      </x:c>
      <x:c r="L8" s="68" t="str">
        <x:v>Creates an organised record of visible items and follow-up, especially useful during a time-limited handover.</x:v>
      </x:c>
      <x:c r="M8" s="68" t="str">
        <x:v>High-intent milestone purchase; broad home checklists exist but regional terms and an easy defect follow-up tracker may differentiate.</x:v>
      </x:c>
      <x:c r="N8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8" s="68" t="n">
        <x:v>2</x:v>
      </x:c>
      <x:c r="P8" s="68" t="n">
        <x:v>3</x:v>
      </x:c>
      <x:c r="Q8" s="68" t="n">
        <x:v>5</x:v>
      </x:c>
      <x:c r="R8" s="68" t="n">
        <x:v>4</x:v>
      </x:c>
      <x:c r="S8" s="68" t="n">
        <x:v>4</x:v>
      </x:c>
      <x:c r="T8" s="68" t="n">
        <x:v>4</x:v>
      </x:c>
      <x:c r="U8" s="68" t="n">
        <x:v>3</x:v>
      </x:c>
      <x:c r="V8" s="68" t="n">
        <x:f>ROUND((P8*0.25+Q8*0.20+R8*0.20+S8*0.15+T8*0.10+U8*0.10)*20-MAX(O8-1,0)*3,0)</x:f>
        <x:v>74</x:v>
      </x:c>
      <x:c r="W8" s="68" t="str">
        <x:v>US$10-20</x:v>
      </x:c>
      <x:c r="X8" s="68" t="str">
        <x:v>new build handover</x:v>
      </x:c>
      <x:c r="Y8" s="68" t="str">
        <x:v>defect tracker template</x:v>
      </x:c>
      <x:c r="Z8" s="68" t="str">
        <x:v>https://www.etsy.com/listing/935530423/printable-home-maintenance-binder</x:v>
      </x:c>
      <x:c r="AA8" s="68" t="str">
        <x:v>Exact match count and local terminology must be verified for target country.</x:v>
      </x:c>
      <x:c r="AB8" s="68" t="str">
        <x:v>Avoid calling it a legally complete inspection or guaranteeing compliance; users should follow local contracts and qualified inspectors.</x:v>
      </x:c>
      <x:c r="AC8" s="68" t="str">
        <x:v>White-space hypothesis</x:v>
      </x:c>
    </x:row>
    <x:row r="9" ht="84" customHeight="1">
      <x:c r="A9" s="68" t="n">
        <x:v>8</x:v>
      </x:c>
      <x:c r="B9" s="68" t="str">
        <x:v>Homeowner &amp; resilience</x:v>
      </x:c>
      <x:c r="C9" s="68" t="str">
        <x:v>Roommate move-in and shared-house operations kit</x:v>
      </x:c>
      <x:c r="D9" s="68" t="str">
        <x:v>Students, young professionals and shared-house renters</x:v>
      </x:c>
      <x:c r="E9" s="68" t="str">
        <x:v>Editable Canva + Google Sheets bundle</x:v>
      </x:c>
      <x:c r="F9" s="68" t="str">
        <x:v>A practical move-in pack combining shared inventory, utilities, chores and agreed house routines rather than a generic roommate rules poster.</x:v>
      </x:c>
      <x:c r="G9" s="68" t="str">
        <x:v>Roommate Move-In Kit | Shared Inventory, Bills, Chores &amp; House Notes</x:v>
      </x:c>
      <x:c r="H9" s="68" t="str">
        <x:v>Paper &amp; Party Supplies &gt; Paper &gt; Templates</x:v>
      </x:c>
      <x:c r="I9" s="68" t="str">
        <x:v>roommate planner | move in checklist | roommate agreement | shared bills tracker | chore chart adults | house inventory | utilities tracker | apartment checklist | first apartment | Canva template | editable template | digital download | instant download</x:v>
      </x:c>
      <x:c r="J9" s="68" t="str">
        <x:v>Move-in checklist; shared-property inventory; bill split tracker; recurring chores; supply restock list; cleaning reset plan; repair request log; house meeting agenda; move-out checklist.</x:v>
      </x:c>
      <x:c r="K9" s="68" t="str">
        <x:v>Apartment doorway illustration with crisp checklist previews; headline 'LESS AWKWARD. MORE ORGANISED.'</x:v>
      </x:c>
      <x:c r="L9" s="68" t="str">
        <x:v>Solves a recurring coordination problem for a clearly identifiable life stage.</x:v>
      </x:c>
      <x:c r="M9" s="68" t="str">
        <x:v>Broad moving products are visible; roommate-first coordination is narrower and supports bundled spreadsheet plus printables.</x:v>
      </x:c>
      <x:c r="N9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9" s="68" t="n">
        <x:v>3</x:v>
      </x:c>
      <x:c r="P9" s="68" t="n">
        <x:v>3</x:v>
      </x:c>
      <x:c r="Q9" s="68" t="n">
        <x:v>4</x:v>
      </x:c>
      <x:c r="R9" s="68" t="n">
        <x:v>4</x:v>
      </x:c>
      <x:c r="S9" s="68" t="n">
        <x:v>5</x:v>
      </x:c>
      <x:c r="T9" s="68" t="n">
        <x:v>3</x:v>
      </x:c>
      <x:c r="U9" s="68" t="n">
        <x:v>5</x:v>
      </x:c>
      <x:c r="V9" s="68" t="n">
        <x:f>ROUND((P9*0.25+Q9*0.20+R9*0.20+S9*0.15+T9*0.10+U9*0.10)*20-MAX(O9-1,0)*3,0)</x:f>
        <x:v>72</x:v>
      </x:c>
      <x:c r="W9" s="68" t="str">
        <x:v>US$7-14</x:v>
      </x:c>
      <x:c r="X9" s="68" t="str">
        <x:v>roommate move in kit</x:v>
      </x:c>
      <x:c r="Y9" s="68" t="str">
        <x:v>shared bills tracker</x:v>
      </x:c>
      <x:c r="Z9" s="68" t="str">
        <x:v>https://www.etsy.com/listing/4504064218/moving-binder-printable-moving-checklist</x:v>
      </x:c>
      <x:c r="AA9" s="68" t="str">
        <x:v>Adjacent moving-binder evidence; validate buyer wording in the destination market.</x:v>
      </x:c>
      <x:c r="AB9" s="68" t="str">
        <x:v>If including an agreement page, label it a conversation worksheet, not a legal contract; laws differ.</x:v>
      </x:c>
      <x:c r="AC9" s="68" t="str">
        <x:v>White-space hypothesis</x:v>
      </x:c>
    </x:row>
    <x:row r="10" ht="84" customHeight="1">
      <x:c r="A10" s="68" t="n">
        <x:v>9</x:v>
      </x:c>
      <x:c r="B10" s="68" t="str">
        <x:v>Rental &amp; local service business</x:v>
      </x:c>
      <x:c r="C10" s="68" t="str">
        <x:v>Cabin and glamping guest guide</x:v>
      </x:c>
      <x:c r="D10" s="68" t="str">
        <x:v>Owners of cabins, glamping tents, tiny homes and rural stays</x:v>
      </x:c>
      <x:c r="E10" s="68" t="str">
        <x:v>Editable Canva guest book + mobile PDF</x:v>
      </x:c>
      <x:c r="F10" s="68" t="str">
        <x:v>A guest manual for properties where outdoor systems, weather, firepit rules and local nature information matter more than luxury decor.</x:v>
      </x:c>
      <x:c r="G10" s="68" t="str">
        <x:v>Cabin Guest Book Template | Glamping Welcome Guide, House Rules &amp; Local Tips</x:v>
      </x:c>
      <x:c r="H10" s="68" t="str">
        <x:v>Templates &gt; Business &amp; Marketing &gt; Templates</x:v>
      </x:c>
      <x:c r="I10" s="68" t="str">
        <x:v>cabin welcome book | glamping guest guide | vacation rental | guest manual | tiny home rental | cabin house rules | guest information | airbnb template | outdoor stay | canva guest book | Canva template | editable template | digital download</x:v>
      </x:c>
      <x:c r="J10" s="68" t="str">
        <x:v>Welcome and check-in; property map placeholders; quiet hours; appliance instructions; firepit/outdoor rules to customise locally; wildlife/waste notes; emergency contact page; checkout steps; local recommendations.</x:v>
      </x:c>
      <x:c r="K10" s="68" t="str">
        <x:v>Rustic cabin hero image with phone screen showing table of contents; legible subtitle 'EDIT IN CANVA • SHARE BY QR'.</x:v>
      </x:c>
      <x:c r="L10" s="68" t="str">
        <x:v>Hosts get a professional guide designed around a specific property type and can reuse it between seasons.</x:v>
      </x:c>
      <x:c r="M10" s="68" t="str">
        <x:v>Generic Airbnb welcome books are highly competitive (examples include a listing with 652 reviews); rustic remote-stay operations and mobile-first information are the differentiation.</x:v>
      </x:c>
      <x:c r="N10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10" s="68" t="n">
        <x:v>4</x:v>
      </x:c>
      <x:c r="P10" s="68" t="n">
        <x:v>4</x:v>
      </x:c>
      <x:c r="Q10" s="68" t="n">
        <x:v>5</x:v>
      </x:c>
      <x:c r="R10" s="68" t="n">
        <x:v>3</x:v>
      </x:c>
      <x:c r="S10" s="68" t="n">
        <x:v>5</x:v>
      </x:c>
      <x:c r="T10" s="68" t="n">
        <x:v>5</x:v>
      </x:c>
      <x:c r="U10" s="68" t="n">
        <x:v>5</x:v>
      </x:c>
      <x:c r="V10" s="68" t="n">
        <x:f>ROUND((P10*0.25+Q10*0.20+R10*0.20+S10*0.15+T10*0.10+U10*0.10)*20-MAX(O10-1,0)*3,0)</x:f>
        <x:v>78</x:v>
      </x:c>
      <x:c r="W10" s="68" t="str">
        <x:v>US$12-25</x:v>
      </x:c>
      <x:c r="X10" s="68" t="str">
        <x:v>cabin guest book</x:v>
      </x:c>
      <x:c r="Y10" s="68" t="str">
        <x:v>glamping welcome guide</x:v>
      </x:c>
      <x:c r="Z10" s="68" t="str">
        <x:v>https://www.etsy.com/listing/923342294/modern-airbnb-welcome-book-template</x:v>
      </x:c>
      <x:c r="AA10" s="68" t="str">
        <x:v>Strong parent-category proof; broad welcome-book keywords are saturated.</x:v>
      </x:c>
      <x:c r="AB10" s="68" t="str">
        <x:v>Users must add current local emergency, fire, wildlife and access information; do not invent safety regulations.</x:v>
      </x:c>
      <x:c r="AC10" s="68" t="str">
        <x:v>Evidence-backed parent niche</x:v>
      </x:c>
    </x:row>
    <x:row r="11" ht="84" customHeight="1">
      <x:c r="A11" s="68" t="n">
        <x:v>10</x:v>
      </x:c>
      <x:c r="B11" s="68" t="str">
        <x:v>Rental &amp; local service business</x:v>
      </x:c>
      <x:c r="C11" s="68" t="str">
        <x:v>Multi-property rental turnover dashboard</x:v>
      </x:c>
      <x:c r="D11" s="68" t="str">
        <x:v>Small short-term rental hosts managing 2–10 units</x:v>
      </x:c>
      <x:c r="E11" s="68" t="str">
        <x:v>Excel/Google Sheets dashboard + printable checklist</x:v>
      </x:c>
      <x:c r="F11" s="68" t="str">
        <x:v>More operational than a pretty welcome book: turns cleaning, linen counts, consumables, maintenance and guest issue follow-ups into a repeatable workflow.</x:v>
      </x:c>
      <x:c r="G11" s="68" t="str">
        <x:v>Vacation Rental Turnover Tracker | Cleaning, Linen &amp; Restock Dashboard</x:v>
      </x:c>
      <x:c r="H11" s="68" t="str">
        <x:v>Templates &gt; Business &amp; Marketing &gt; Templates</x:v>
      </x:c>
      <x:c r="I11" s="68" t="str">
        <x:v>rental turnover | airbnb cleaning | linen inventory | restock checklist | host dashboard | vacation rental | cleaning checklist | property management | guest issue log | rental host template | Excel template | Google Sheets | fillable tracker</x:v>
      </x:c>
      <x:c r="J11" s="68" t="str">
        <x:v>Property master list; turnover checklist; linen-par tracker; consumable min/max; damage/maintenance issue log; supply spend; cleaner assignment; readiness status dashboard; monthly review.</x:v>
      </x:c>
      <x:c r="K11" s="68" t="str">
        <x:v>Spreadsheet dashboard on laptop plus a one-page turnover checklist; use simple green/amber status chips and a clear 'READY FOR CHECK-IN?' headline.</x:v>
      </x:c>
      <x:c r="L11" s="68" t="str">
        <x:v>A reusable operating system reduces missed tasks and the need to build custom spreadsheets.</x:v>
      </x:c>
      <x:c r="M11" s="68" t="str">
        <x:v>Short-term-rental templates exist in volume; multi-property workflow and printable cleaner handoff can justify a higher price than a single generic checklist.</x:v>
      </x:c>
      <x:c r="N11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11" s="68" t="n">
        <x:v>4</x:v>
      </x:c>
      <x:c r="P11" s="68" t="n">
        <x:v>4</x:v>
      </x:c>
      <x:c r="Q11" s="68" t="n">
        <x:v>5</x:v>
      </x:c>
      <x:c r="R11" s="68" t="n">
        <x:v>3</x:v>
      </x:c>
      <x:c r="S11" s="68" t="n">
        <x:v>5</x:v>
      </x:c>
      <x:c r="T11" s="68" t="n">
        <x:v>5</x:v>
      </x:c>
      <x:c r="U11" s="68" t="n">
        <x:v>5</x:v>
      </x:c>
      <x:c r="V11" s="68" t="n">
        <x:f>ROUND((P11*0.25+Q11*0.20+R11*0.20+S11*0.15+T11*0.10+U11*0.10)*20-MAX(O11-1,0)*3,0)</x:f>
        <x:v>78</x:v>
      </x:c>
      <x:c r="W11" s="68" t="str">
        <x:v>US$15-29</x:v>
      </x:c>
      <x:c r="X11" s="68" t="str">
        <x:v>rental turnover tracker</x:v>
      </x:c>
      <x:c r="Y11" s="68" t="str">
        <x:v>airbnb restock checklist</x:v>
      </x:c>
      <x:c r="Z11" s="68" t="str">
        <x:v>https://www.etsy.com/listing/4510590805/welcome-book-template-editable</x:v>
      </x:c>
      <x:c r="AA11" s="68" t="str">
        <x:v>Adjacent guest-guide market is crowded; demand for this operations-specific format should be validated.</x:v>
      </x:c>
      <x:c r="AB11" s="68" t="str">
        <x:v>Do not include real guest personal data in demos; clearly state software compatibility and formula limitations.</x:v>
      </x:c>
      <x:c r="AC11" s="68" t="str">
        <x:v>White-space hypothesis</x:v>
      </x:c>
    </x:row>
    <x:row r="12" ht="84" customHeight="1">
      <x:c r="A12" s="68" t="n">
        <x:v>11</x:v>
      </x:c>
      <x:c r="B12" s="68" t="str">
        <x:v>Rental &amp; local service business</x:v>
      </x:c>
      <x:c r="C12" s="68" t="str">
        <x:v>Pet-friendly vacation rental guide</x:v>
      </x:c>
      <x:c r="D12" s="68" t="str">
        <x:v>Hosts of pet-welcoming cabins, cottages and vacation rentals</x:v>
      </x:c>
      <x:c r="E12" s="68" t="str">
        <x:v>Editable Canva + mobile-friendly PDF</x:v>
      </x:c>
      <x:c r="F12" s="68" t="str">
        <x:v>Combine the guest experience with a pet-specific arrival and checkout information flow.</x:v>
      </x:c>
      <x:c r="G12" s="68" t="str">
        <x:v>Pet-Friendly Airbnb Welcome Book | House Rules, Pet Info &amp; Guest Guide</x:v>
      </x:c>
      <x:c r="H12" s="68" t="str">
        <x:v>Templates &gt; Business &amp; Marketing &gt; Templates</x:v>
      </x:c>
      <x:c r="I12" s="68" t="str">
        <x:v>pet friendly airbnb | dog welcome book | pet house rules | guest guide template | pet travel info | cabin guest book | canva welcome book | pet policy sign | rental host | Canva template | editable template | digital download | instant download</x:v>
      </x:c>
      <x:c r="J12" s="68" t="str">
        <x:v>Property welcome; owner-editable pet rules; waste and cleaning points; local leash-area placeholders; emergency vet/contact placeholders; pet amenities inventory; damage-report steps; checkout checklist.</x:v>
      </x:c>
      <x:c r="K12" s="68" t="str">
        <x:v>Lifestyle cabin image with dog at the doorway and a mobile guide preview; prominent 'PET-FRIENDLY STAY' label.</x:v>
      </x:c>
      <x:c r="L12" s="68" t="str">
        <x:v>Helps hosts set expectations and signal that their property really welcomes pet travellers.</x:v>
      </x:c>
      <x:c r="M12" s="68" t="str">
        <x:v>Airbnb welcome books are competitive, but pet-specific workflows provide a clear long-tail angle; verify that pet-friendly phrasing has enough search volume.</x:v>
      </x:c>
      <x:c r="N12" s="68" t="str">
        <x:v>Research agent compares buyer language and listing gaps; content agent drafts page copy and information architecture; design agent builds original editable Canva layouts; QA agent checks legibility, mobile thumbnails and editability; mockup agent generates finished-product examples; listing agent writes a clear title, 13 relevant tags, file list and FAQ. Human seller approves final product, claims, rights and Etsy AI disclosure before publishing.</x:v>
      </x:c>
      <x:c r="O12" s="68" t="n">
        <x:v>3</x:v>
      </x:c>
      <x:c r="P12" s="68" t="n">
        <x:v>3</x:v>
      </x:c>
      <x:c r="Q12" s="68" t="n">
        <x:v>4</x:v>
      </x:c>
      <x:c r="R12" s="68" t="n">
        <x:v>4</x:v>
      </x:c>
      <x:c r="S12" s="68" t="n">
        <x:v>5</x:v>
      </x:c>
      <x:c r="T12" s="68" t="n">
        <x:v>4</x:v>
      </x:c>
      <x:c r="U12" s="68" t="n">
        <x:v>5</x:v>
      </x:c>
      <x:c r="V12" s="68" t="n">
        <x:f>ROUND((P12*0.25+Q12*0.20+R12*0.20+S12*0.15+T12*0.10+U12*0.10)*20-MAX(O12-1,0)*3,0)</x:f>
        <x:v>74</x:v>
      </x:c>
      <x:c r="W12" s="68" t="str">
        <x:v>US$10-20</x:v>
      </x:c>
      <x:c r="X12" s="68" t="str">
        <x:v>pet friendly rental</x:v>
      </x:c>
      <x:c r="Y12" s="68" t="str">
        <x:v>dog welcome book</x:v>
      </x:c>
      <x:c r="Z12" s="68" t="str">
        <x:v>https://www.etsy.com/listing/923342294/modern-airbnb-welcome-book-template</x:v>
      </x:c>
      <x:c r="AA12" s="68" t="str">
        <x:v>Adjacent competitor data confirms welcome-book purchasing; niche pet angle remains a hypothesis.</x:v>
      </x:c>
      <x:c r="AB12" s="68" t="str">
        <x:v>Local park/leash rules and emergency service info must be inserted by each host; avoid asserting universal rules.</x:v>
      </x:c>
      <x:c r="AC12" s="68" t="str">
        <x:v>White-space hypothesis</x:v>
      </x:c>
    </x:row>
    <x:row r="13" ht="84" customHeight="1">
      <x:c r="A13" s="68" t="n">
        <x:v>12</x:v>
      </x:c>
      <x:c r="B13" s="68" t="str">
        <x:v>Rental &amp; local service business</x:v>
      </x:c>
      <x:c r="C13" s="68" t="str">
        <x:v>Solo cleaner site-visit operations kit</x:v>
      </x:c>
      <x:c r="D13" s="68" t="str">
        <x:v>Independent residential cleaners and small cleaning teams</x:v>
      </x:c>
      <x:c r="E13" s="68" t="str">
        <x:v>Fillable PDF forms + spreadsheet job tracker</x:v>
      </x:c>
      <x:c r="F13" s="68" t="str">
        <x:v>A repeatable workflow for quotes, access instructions, room-by-room scope, client preferences and quality-control photos.</x:v>
      </x:c>
      <x:c r="G13" s="68" t="str">
        <x:v>Cleaning Business Forms Bundle | Client Intake, Job Checklist &amp; Quality Log</x:v>
      </x:c>
      <x:c r="H13" s="68" t="str">
        <x:v>Templates &gt; Business &amp; Marketing &gt; Templates</x:v>
      </x:c>
      <x:c r="I13" s="68" t="str">
        <x:v>cleaner checklist | client intake form | cleaning estimate | house cleaning log | cleaning schedule | quality checklist | solo cleaner | cleaning invoice | job tracker | Excel template | Google Sheets | fillable tracker | instant download</x:v>
      </x:c>
      <x:c r="J13" s="68" t="str">
        <x:v>Client intake; room-by-room scope; access and pet notes; before/after photo checklist; add-on approval field; supply checklist; quality sign-off; rebooking and feedback tracker.</x:v>
      </x:c>
      <x:c r="K13" s="68" t="str">
        <x:v>Professional clipboard mockup with a clean checklist and a simple house icon; avoid stock-photo collage as the hero.</x:v>
      </x:c>
      <x:c r="L13" s="68" t="str">
        <x:v>Saves repeated admin and helps a solo operator look more organised from the first enquiry.</x:v>
      </x:c>
      <x:c r="M13" s="68" t="str">
        <x:v>Local-service templates often have clear purchase intent; competition is expected in generic cleaner forms, so bundle a useful photo/QC process and offer US Letter/A4.</x:v>
      </x:c>
      <x:c r="N13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13" s="68" t="n">
        <x:v>3</x:v>
      </x:c>
      <x:c r="P13" s="68" t="n">
        <x:v>3</x:v>
      </x:c>
      <x:c r="Q13" s="68" t="n">
        <x:v>5</x:v>
      </x:c>
      <x:c r="R13" s="68" t="n">
        <x:v>4</x:v>
      </x:c>
      <x:c r="S13" s="68" t="n">
        <x:v>5</x:v>
      </x:c>
      <x:c r="T13" s="68" t="n">
        <x:v>4</x:v>
      </x:c>
      <x:c r="U13" s="68" t="n">
        <x:v>5</x:v>
      </x:c>
      <x:c r="V13" s="68" t="n">
        <x:f>ROUND((P13*0.25+Q13*0.20+R13*0.20+S13*0.15+T13*0.10+U13*0.10)*20-MAX(O13-1,0)*3,0)</x:f>
        <x:v>78</x:v>
      </x:c>
      <x:c r="W13" s="68" t="str">
        <x:v>US$12-24</x:v>
      </x:c>
      <x:c r="X13" s="68" t="str">
        <x:v>cleaning business forms</x:v>
      </x:c>
      <x:c r="Y13" s="68" t="str">
        <x:v>house cleaner checklist</x:v>
      </x:c>
      <x:c r="Z13" s="68" t="str">
        <x:v>https://www.etsy.com/listing/4446776433/mobile-detailing-business-starter-forms</x:v>
      </x:c>
      <x:c r="AA13" s="68" t="str">
        <x:v>Adjacent service-business kit evidence; direct cleaner keyword volume needs validation.</x:v>
      </x:c>
      <x:c r="AB13" s="68" t="str">
        <x:v>Any service terms or cancellation policies are general examples and should be locally reviewed; keep client details private in mockups.</x:v>
      </x:c>
      <x:c r="AC13" s="68" t="str">
        <x:v>White-space hypothesis</x:v>
      </x:c>
    </x:row>
    <x:row r="14" ht="84" customHeight="1">
      <x:c r="A14" s="68" t="n">
        <x:v>13</x:v>
      </x:c>
      <x:c r="B14" s="68" t="str">
        <x:v>Rental &amp; local service business</x:v>
      </x:c>
      <x:c r="C14" s="68" t="str">
        <x:v>Mobile dog groomer client and route kit</x:v>
      </x:c>
      <x:c r="D14" s="68" t="str">
        <x:v>Solo mobile dog groomers and small grooming vans</x:v>
      </x:c>
      <x:c r="E14" s="68" t="str">
        <x:v>Excel/Google Sheets + printable PDF pack</x:v>
      </x:c>
      <x:c r="F14" s="68" t="str">
        <x:v>Business operations product for route timing, pet handling preferences, client rebooking and vehicle/supply preparation.</x:v>
      </x:c>
      <x:c r="G14" s="68" t="str">
        <x:v>Mobile Dog Grooming Business Kit | Client Intake, Route &amp; Rebooking Tracker</x:v>
      </x:c>
      <x:c r="H14" s="68" t="str">
        <x:v>Templates &gt; Business &amp; Marketing &gt; Templates</x:v>
      </x:c>
      <x:c r="I14" s="68" t="str">
        <x:v>mobile dog groomer | grooming intake form | dog grooming log | pet client tracker | groomer schedule | grooming business | rebooking tracker | dog profile sheet | mobile service kit | grooming forms | Excel template | Google Sheets | fillable tracker</x:v>
      </x:c>
      <x:c r="J14" s="68" t="str">
        <x:v>Client/pet profiles; coat and handling notes supplied by owner; route and appointment tracker; service menu/pricing inputs; before/after photo permission checkbox; supply restock; rebooking and reminder templates; monthly overview.</x:v>
      </x:c>
      <x:c r="K14" s="68" t="str">
        <x:v>A grooming van/phone mockup, paw-pattern accent and a visible route calendar; headline 'BOOK • GROOM • REBOOK'.</x:v>
      </x:c>
      <x:c r="L14" s="68" t="str">
        <x:v>Combines service delivery, route planning and repeat-business tracking for a specific mobile trade.</x:v>
      </x:c>
      <x:c r="M14" s="68" t="str">
        <x:v>Narrow business audience, repeated operational pain and strong spreadsheet automation fit; broad groomer templates may exist but the mobile route/stock workflow is more specific.</x:v>
      </x:c>
      <x:c r="N14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14" s="68" t="n">
        <x:v>2</x:v>
      </x:c>
      <x:c r="P14" s="68" t="n">
        <x:v>3</x:v>
      </x:c>
      <x:c r="Q14" s="68" t="n">
        <x:v>5</x:v>
      </x:c>
      <x:c r="R14" s="68" t="n">
        <x:v>5</x:v>
      </x:c>
      <x:c r="S14" s="68" t="n">
        <x:v>5</x:v>
      </x:c>
      <x:c r="T14" s="68" t="n">
        <x:v>5</x:v>
      </x:c>
      <x:c r="U14" s="68" t="n">
        <x:v>5</x:v>
      </x:c>
      <x:c r="V14" s="68" t="n">
        <x:f>ROUND((P14*0.25+Q14*0.20+R14*0.20+S14*0.15+T14*0.10+U14*0.10)*20-MAX(O14-1,0)*3,0)</x:f>
        <x:v>87</x:v>
      </x:c>
      <x:c r="W14" s="68" t="str">
        <x:v>US$18-35</x:v>
      </x:c>
      <x:c r="X14" s="68" t="str">
        <x:v>mobile dog grooming</x:v>
      </x:c>
      <x:c r="Y14" s="68" t="str">
        <x:v>groomer client tracker</x:v>
      </x:c>
      <x:c r="Z14" s="68" t="str">
        <x:v>https://www.etsy.com/listing/4446776433/mobile-detailing-business-starter-forms</x:v>
      </x:c>
      <x:c r="AA14" s="68" t="str">
        <x:v>The mobile-detailing category demonstrates buyers for trade-specific forms; dog-groomer exact competition is unverified.</x:v>
      </x:c>
      <x:c r="AB14" s="68" t="str">
        <x:v>Do not include veterinary advice or breed-specific treatment claims; prices, route logic and customer forms must be editable.</x:v>
      </x:c>
      <x:c r="AC14" s="68" t="str">
        <x:v>White-space hypothesis</x:v>
      </x:c>
    </x:row>
    <x:row r="15" ht="84" customHeight="1">
      <x:c r="A15" s="68" t="n">
        <x:v>14</x:v>
      </x:c>
      <x:c r="B15" s="68" t="str">
        <x:v>Rental &amp; local service business</x:v>
      </x:c>
      <x:c r="C15" s="68" t="str">
        <x:v>Mobile detailing job margin and rebooking dashboard</x:v>
      </x:c>
      <x:c r="D15" s="68" t="str">
        <x:v>Independent mobile car detailers and small vehicle detailing teams</x:v>
      </x:c>
      <x:c r="E15" s="68" t="str">
        <x:v>Excel/Google Sheets dashboard + fillable PDF forms</x:v>
      </x:c>
      <x:c r="F15" s="68" t="str">
        <x:v>A more decision-useful version of an existing category: quote inputs, travel/setup time, consumables, add-on acceptance and rebooking.</x:v>
      </x:c>
      <x:c r="G15" s="68" t="str">
        <x:v>Mobile Detailing Business Kit | Quote Calculator, Job Tracker &amp; Rebooking</x:v>
      </x:c>
      <x:c r="H15" s="68" t="str">
        <x:v>Templates &gt; Business &amp; Marketing &gt; Templates</x:v>
      </x:c>
      <x:c r="I15" s="68" t="str">
        <x:v>mobile detailing | detailing forms | car detailing kit | quote calculator | detailing invoice | client intake form | vehicle inspection | job tracker | detailing pricing | rebooking tracker | Excel template | Google Sheets | fillable tracker</x:v>
      </x:c>
      <x:c r="J15" s="68" t="str">
        <x:v>Service menu; editable cost/time assumptions; quote calculator; vehicle condition checklist; work order; client follow-up; supply expense tracker; rebooking queue; monthly revenue summary.</x:v>
      </x:c>
      <x:c r="K15" s="68" t="str">
        <x:v>Clear spreadsheet screenshot paired with a sample vehicle inspection form; show 3 concrete outcomes rather than a page-count badge.</x:v>
      </x:c>
      <x:c r="L15" s="68" t="str">
        <x:v>Helps a small operator calculate and organise work in one downloadable system rather than assemble separate forms.</x:v>
      </x:c>
      <x:c r="M15" s="68" t="str">
        <x:v>Public listings already range from roughly AU$10 starter forms to AU$37 30-page bundles; market is real but competitive, so differentiate with tested formulas and ease of use.</x:v>
      </x:c>
      <x:c r="N15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15" s="68" t="n">
        <x:v>4</x:v>
      </x:c>
      <x:c r="P15" s="68" t="n">
        <x:v>4</x:v>
      </x:c>
      <x:c r="Q15" s="68" t="n">
        <x:v>5</x:v>
      </x:c>
      <x:c r="R15" s="68" t="n">
        <x:v>3</x:v>
      </x:c>
      <x:c r="S15" s="68" t="n">
        <x:v>5</x:v>
      </x:c>
      <x:c r="T15" s="68" t="n">
        <x:v>5</x:v>
      </x:c>
      <x:c r="U15" s="68" t="n">
        <x:v>5</x:v>
      </x:c>
      <x:c r="V15" s="68" t="n">
        <x:f>ROUND((P15*0.25+Q15*0.20+R15*0.20+S15*0.15+T15*0.10+U15*0.10)*20-MAX(O15-1,0)*3,0)</x:f>
        <x:v>78</x:v>
      </x:c>
      <x:c r="W15" s="68" t="str">
        <x:v>US$19-39</x:v>
      </x:c>
      <x:c r="X15" s="68" t="str">
        <x:v>mobile detailing kit</x:v>
      </x:c>
      <x:c r="Y15" s="68" t="str">
        <x:v>detailing quote calculator</x:v>
      </x:c>
      <x:c r="Z15" s="68" t="str">
        <x:v>https://www.etsy.com/listing/4556062624/mobile-detailing-business-forms-bundle</x:v>
      </x:c>
      <x:c r="AA15" s="68" t="str">
        <x:v>Multiple relevant competitor listings were visible in public search: promising commercial intent, not low competition.</x:v>
      </x:c>
      <x:c r="AB15" s="68" t="str">
        <x:v>Test every formula; use input fields and visible assumptions; legal/payment terms are examples, not legal advice.</x:v>
      </x:c>
      <x:c r="AC15" s="68" t="str">
        <x:v>Evidence-backed, moderately competitive</x:v>
      </x:c>
    </x:row>
    <x:row r="16" ht="84" customHeight="1">
      <x:c r="A16" s="68" t="n">
        <x:v>15</x:v>
      </x:c>
      <x:c r="B16" s="68" t="str">
        <x:v>Events &amp; celebrations</x:v>
      </x:c>
      <x:c r="C16" s="68" t="str">
        <x:v>Friendsmas chosen-family hosting kit</x:v>
      </x:c>
      <x:c r="D16" s="68" t="str">
        <x:v>Friend groups hosting informal holiday dinners and potlucks</x:v>
      </x:c>
      <x:c r="E16" s="68" t="str">
        <x:v>Printable PDF + editable Canva game cards</x:v>
      </x:c>
      <x:c r="F16" s="68" t="str">
        <x:v>A festive but inclusive alternative to family-centric party kits; prioritise easy hosting, shared food and low-pressure games.</x:v>
      </x:c>
      <x:c r="G16" s="68" t="str">
        <x:v>Friendsmas Party Kit | Potluck Planner, Conversation Cards &amp; Group Games</x:v>
      </x:c>
      <x:c r="H16" s="68" t="str">
        <x:v>Paper &amp; Party Supplies &gt; Party Supplies &gt; Games &amp; Activities</x:v>
      </x:c>
      <x:c r="I16" s="68" t="str">
        <x:v>friendsmas party | friendsgiving kit | potluck planner | holiday party games | friend group gift | conversation cards | party checklist | holiday hosting | printable games | Canva template | editable template | digital download | instant download</x:v>
      </x:c>
      <x:c r="J16" s="68" t="str">
        <x:v>Potluck signup; dietary needs list; low-pressure conversation cards; game instructions; shared playlist suggestion sheet; seating/grouping ideas; budget tracker; cleanup rotation; photo-memory page.</x:v>
      </x:c>
      <x:c r="K16" s="68" t="str">
        <x:v>Colourful maximalist holiday dinner table with a single printable card stack; cover text 'FRIENDS • FOOD • NO PRESSURE'.</x:v>
      </x:c>
      <x:c r="L16" s="68" t="str">
        <x:v>Matches the growing chosen-family celebration behavior and turns hosting logistics into a ready-to-use kit.</x:v>
      </x:c>
      <x:c r="M16" s="68" t="str">
        <x:v>Etsy's Fall/Winter 2026 report notes personalised friend gifts +1,400% and Friendsmas sales +37%; party kit search demand still needs direct keyword checks.</x:v>
      </x:c>
      <x:c r="N16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16" s="68" t="n">
        <x:v>3</x:v>
      </x:c>
      <x:c r="P16" s="68" t="n">
        <x:v>5</x:v>
      </x:c>
      <x:c r="Q16" s="68" t="n">
        <x:v>4</x:v>
      </x:c>
      <x:c r="R16" s="68" t="n">
        <x:v>4</x:v>
      </x:c>
      <x:c r="S16" s="68" t="n">
        <x:v>5</x:v>
      </x:c>
      <x:c r="T16" s="68" t="n">
        <x:v>3</x:v>
      </x:c>
      <x:c r="U16" s="68" t="n">
        <x:v>2</x:v>
      </x:c>
      <x:c r="V16" s="68" t="n">
        <x:f>ROUND((P16*0.25+Q16*0.20+R16*0.20+S16*0.15+T16*0.10+U16*0.10)*20-MAX(O16-1,0)*3,0)</x:f>
        <x:v>76</x:v>
      </x:c>
      <x:c r="W16" s="68" t="str">
        <x:v>US$5-11</x:v>
      </x:c>
      <x:c r="X16" s="68" t="str">
        <x:v>friendsmas party kit</x:v>
      </x:c>
      <x:c r="Y16" s="68" t="str">
        <x:v>friendsmas games</x:v>
      </x:c>
      <x:c r="Z16" s="68" t="str">
        <x:v>https://www.etsy.com/au/seller-handbook/article/1521255894814</x:v>
      </x:c>
      <x:c r="AA16" s="68" t="str">
        <x:v>Official report gives seasonal adjacent signal; not proof of digital-printable sales volume.</x:v>
      </x:c>
      <x:c r="AB16" s="68" t="str">
        <x:v>Seasonal item: list early, use original game content, and ensure dietary prompts are inclusive rather than medical guidance.</x:v>
      </x:c>
      <x:c r="AC16" s="68" t="str">
        <x:v>White-space hypothesis</x:v>
      </x:c>
    </x:row>
    <x:row r="17" ht="84" customHeight="1">
      <x:c r="A17" s="68" t="n">
        <x:v>16</x:v>
      </x:c>
      <x:c r="B17" s="68" t="str">
        <x:v>Events &amp; celebrations</x:v>
      </x:c>
      <x:c r="C17" s="68" t="str">
        <x:v>Adult craft-night host system</x:v>
      </x:c>
      <x:c r="D17" s="68" t="str">
        <x:v>Friends, book clubs, community groups and small event hosts</x:v>
      </x:c>
      <x:c r="E17" s="68" t="str">
        <x:v>Printable activity pack + editable station cards</x:v>
      </x:c>
      <x:c r="F17" s="68" t="str">
        <x:v>A host-ready experience: timing, station instructions, materials checklist, conversation cards and take-home label templates.</x:v>
      </x:c>
      <x:c r="G17" s="68" t="str">
        <x:v>DIY Craft Night Kit for Adults | Activity Stations, Supply List &amp; Host Guide</x:v>
      </x:c>
      <x:c r="H17" s="68" t="str">
        <x:v>Paper &amp; Party Supplies &gt; Party Supplies &gt; Games &amp; Activities</x:v>
      </x:c>
      <x:c r="I17" s="68" t="str">
        <x:v>craft night kit | adult craft party | diy activity cards | craft party planner | creative gathering | craft station signs | group activity kit | makers night | party checklist | printable craft | printable PDF | digital download | fillable PDF</x:v>
      </x:c>
      <x:c r="J17" s="68" t="str">
        <x:v>60/90/120-minute run-of-show options; station cards; supply quantity planner; step-by-step activity sheets; safety/cleanup reminders; inclusive skill-level options; take-home tags; host checklist.</x:v>
      </x:c>
      <x:c r="K17" s="68" t="str">
        <x:v>Top-down table of craft stations with visible station cards and finished examples; title says what the group can do in 2 hours.</x:v>
      </x:c>
      <x:c r="L17" s="68" t="str">
        <x:v>Removes planning friction and helps hosts create a social experience without designing every instruction themselves.</x:v>
      </x:c>
      <x:c r="M17" s="68" t="str">
        <x:v>Etsy reports DIY activities +8,500% year-over-year in its latest seasonal trend report; this is a strong seasonal parent signal, not direct demand proof for a PDF pack.</x:v>
      </x:c>
      <x:c r="N17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17" s="68" t="n">
        <x:v>3</x:v>
      </x:c>
      <x:c r="P17" s="68" t="n">
        <x:v>5</x:v>
      </x:c>
      <x:c r="Q17" s="68" t="n">
        <x:v>4</x:v>
      </x:c>
      <x:c r="R17" s="68" t="n">
        <x:v>4</x:v>
      </x:c>
      <x:c r="S17" s="68" t="n">
        <x:v>5</x:v>
      </x:c>
      <x:c r="T17" s="68" t="n">
        <x:v>4</x:v>
      </x:c>
      <x:c r="U17" s="68" t="n">
        <x:v>3</x:v>
      </x:c>
      <x:c r="V17" s="68" t="n">
        <x:f>ROUND((P17*0.25+Q17*0.20+R17*0.20+S17*0.15+T17*0.10+U17*0.10)*20-MAX(O17-1,0)*3,0)</x:f>
        <x:v>80</x:v>
      </x:c>
      <x:c r="W17" s="68" t="str">
        <x:v>US$7-16</x:v>
      </x:c>
      <x:c r="X17" s="68" t="str">
        <x:v>craft night kit</x:v>
      </x:c>
      <x:c r="Y17" s="68" t="str">
        <x:v>adult diy activity</x:v>
      </x:c>
      <x:c r="Z17" s="68" t="str">
        <x:v>https://www.etsy.com/au/seller-handbook/article/1521255894814</x:v>
      </x:c>
      <x:c r="AA17" s="68" t="str">
        <x:v>Trend signal is strong but largely cross-category; validate printable search terms.</x:v>
      </x:c>
      <x:c r="AB17" s="68" t="str">
        <x:v>Instructions need real-world testing; list any materials not included and avoid unsafe craft techniques.</x:v>
      </x:c>
      <x:c r="AC17" s="68" t="str">
        <x:v>White-space hypothesis</x:v>
      </x:c>
    </x:row>
    <x:row r="18" ht="84" customHeight="1">
      <x:c r="A18" s="68" t="n">
        <x:v>17</x:v>
      </x:c>
      <x:c r="B18" s="68" t="str">
        <x:v>Events &amp; celebrations</x:v>
      </x:c>
      <x:c r="C18" s="68" t="str">
        <x:v>Sensory-considerate wedding guest guide</x:v>
      </x:c>
      <x:c r="D18" s="68" t="str">
        <x:v>Couples planning a wedding for guests with diverse sensory and access needs</x:v>
      </x:c>
      <x:c r="E18" s="68" t="str">
        <x:v>Editable Canva guest guide + printable signs</x:v>
      </x:c>
      <x:c r="F18" s="68" t="str">
        <x:v>Communicate practical details kindly: quiet space, schedule, sound/light notes, dress expectations and opt-in participation.</x:v>
      </x:c>
      <x:c r="G18" s="68" t="str">
        <x:v>Sensory-Friendly Wedding Guest Guide | Quiet Space, Schedule &amp; Access Info</x:v>
      </x:c>
      <x:c r="H18" s="68" t="str">
        <x:v>Paper &amp; Party Supplies &gt; Paper &gt; Invitations</x:v>
      </x:c>
      <x:c r="I18" s="68" t="str">
        <x:v>wedding guest guide | sensory friendly | accessible wedding | wedding details card | quiet room sign | wedding itinerary | inclusive wedding | canva wedding | guest information | wedding signage | Canva template | editable template | digital download</x:v>
      </x:c>
      <x:c r="J18" s="68" t="str">
        <x:v>Editable guest information page; sound/light and schedule notes; quiet-space sign; opt-in participation wording; transport/parking placeholders; meal/contact note; small symbol legend; print and mobile versions.</x:v>
      </x:c>
      <x:c r="K18" s="68" t="str">
        <x:v>Elegant, calm cover in soft colours with simple icons; include an example quiet-space card and the phrase 'KNOW WHAT TO EXPECT'.</x:v>
      </x:c>
      <x:c r="L18" s="68" t="str">
        <x:v>Helps couples communicate considerate arrangements without writing every detail from scratch.</x:v>
      </x:c>
      <x:c r="M18" s="68" t="str">
        <x:v>Specific accessibility logistics appears less generic than standard wedding stationery; public trend signals support personal and meaningful celebrations but exact demand is unknown.</x:v>
      </x:c>
      <x:c r="N18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18" s="68" t="n">
        <x:v>2</x:v>
      </x:c>
      <x:c r="P18" s="68" t="n">
        <x:v>3</x:v>
      </x:c>
      <x:c r="Q18" s="68" t="n">
        <x:v>4</x:v>
      </x:c>
      <x:c r="R18" s="68" t="n">
        <x:v>5</x:v>
      </x:c>
      <x:c r="S18" s="68" t="n">
        <x:v>5</x:v>
      </x:c>
      <x:c r="T18" s="68" t="n">
        <x:v>4</x:v>
      </x:c>
      <x:c r="U18" s="68" t="n">
        <x:v>4</x:v>
      </x:c>
      <x:c r="V18" s="68" t="n">
        <x:f>ROUND((P18*0.25+Q18*0.20+R18*0.20+S18*0.15+T18*0.10+U18*0.10)*20-MAX(O18-1,0)*3,0)</x:f>
        <x:v>79</x:v>
      </x:c>
      <x:c r="W18" s="68" t="str">
        <x:v>US$8-18</x:v>
      </x:c>
      <x:c r="X18" s="68" t="str">
        <x:v>sensory friendly wedding</x:v>
      </x:c>
      <x:c r="Y18" s="68" t="str">
        <x:v>accessible wedding guide</x:v>
      </x:c>
      <x:c r="Z18" s="68" t="str">
        <x:v>https://www.etsy.com/listing/1490832666/wedding-weekend-planner-itinerary</x:v>
      </x:c>
      <x:c r="AA18" s="68" t="str">
        <x:v>White-space hypothesis from a narrower use case; manually assess exact-match competition.</x:v>
      </x:c>
      <x:c r="AB18" s="68" t="str">
        <x:v>Use respectful language; do not claim compliance with any accessibility law. Avoid representing the product as medical advice.</x:v>
      </x:c>
      <x:c r="AC18" s="68" t="str">
        <x:v>White-space hypothesis</x:v>
      </x:c>
    </x:row>
    <x:row r="19" ht="84" customHeight="1">
      <x:c r="A19" s="68" t="n">
        <x:v>18</x:v>
      </x:c>
      <x:c r="B19" s="68" t="str">
        <x:v>Events &amp; celebrations</x:v>
      </x:c>
      <x:c r="C19" s="68" t="str">
        <x:v>Micro-wedding day-of command binder</x:v>
      </x:c>
      <x:c r="D19" s="68" t="str">
        <x:v>Couples planning a wedding for 10–40 guests without a full planner</x:v>
      </x:c>
      <x:c r="E19" s="68" t="str">
        <x:v>Editable Canva + print-ready PDF</x:v>
      </x:c>
      <x:c r="F19" s="68" t="str">
        <x:v>Built for small weddings: one person can coordinate timing, vendors, guests, photos, weather backup and setup.</x:v>
      </x:c>
      <x:c r="G19" s="68" t="str">
        <x:v>Micro Wedding Planner Binder | Day-Of Timeline, Vendors &amp; Backup Plan</x:v>
      </x:c>
      <x:c r="H19" s="68" t="str">
        <x:v>Paper &amp; Party Supplies &gt; Paper &gt; Invitations</x:v>
      </x:c>
      <x:c r="I19" s="68" t="str">
        <x:v>small wedding day | wedding timeline | wedding vendor list | elopement planner | wedding checklist | day of coordinator | wedding run sheet | intimate wedding | ceremony schedule | Canva template | editable template | digital download | instant download</x:v>
      </x:c>
      <x:c r="J19" s="68" t="str">
        <x:v>Hour-by-hour run sheet; supplier contacts; setup/packdown; guest roles; ceremony cue sheet; photo group list; weather contingency; meal timing; emergency-kit checklist; final-week review.</x:v>
      </x:c>
      <x:c r="K19" s="68" t="str">
        <x:v>A single page timeline displayed on a clipboard with elegant small-wedding imagery; main title begins 'MICRO WEDDING PLANNER'.</x:v>
      </x:c>
      <x:c r="L19" s="68" t="str">
        <x:v>Offers the feeling of a coordinator's command sheet at a lower price for couples managing their own day.</x:v>
      </x:c>
      <x:c r="M19" s="68" t="str">
        <x:v>Wedding itineraries are already present with reviews; differentiate by low guest count, DIY coordination and practical contingency planning.</x:v>
      </x:c>
      <x:c r="N19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19" s="68" t="n">
        <x:v>3</x:v>
      </x:c>
      <x:c r="P19" s="68" t="n">
        <x:v>4</x:v>
      </x:c>
      <x:c r="Q19" s="68" t="n">
        <x:v>5</x:v>
      </x:c>
      <x:c r="R19" s="68" t="n">
        <x:v>4</x:v>
      </x:c>
      <x:c r="S19" s="68" t="n">
        <x:v>5</x:v>
      </x:c>
      <x:c r="T19" s="68" t="n">
        <x:v>4</x:v>
      </x:c>
      <x:c r="U19" s="68" t="n">
        <x:v>4</x:v>
      </x:c>
      <x:c r="V19" s="68" t="n">
        <x:f>ROUND((P19*0.25+Q19*0.20+R19*0.20+S19*0.15+T19*0.10+U19*0.10)*20-MAX(O19-1,0)*3,0)</x:f>
        <x:v>81</x:v>
      </x:c>
      <x:c r="W19" s="68" t="str">
        <x:v>US$9-18</x:v>
      </x:c>
      <x:c r="X19" s="68" t="str">
        <x:v>micro wedding planner</x:v>
      </x:c>
      <x:c r="Y19" s="68" t="str">
        <x:v>wedding day timeline</x:v>
      </x:c>
      <x:c r="Z19" s="68" t="str">
        <x:v>https://www.etsy.com/listing/1490832666/wedding-weekend-planner-itinerary</x:v>
      </x:c>
      <x:c r="AA19" s="68" t="str">
        <x:v>Existing wedding itinerary listings validate category interest but not a unique low-competition state.</x:v>
      </x:c>
      <x:c r="AB19" s="68" t="str">
        <x:v>Vendor-contract wording must be omitted or clearly non-legal; user supplies local schedule details.</x:v>
      </x:c>
      <x:c r="AC19" s="68" t="str">
        <x:v>White-space hypothesis</x:v>
      </x:c>
    </x:row>
    <x:row r="20" ht="84" customHeight="1">
      <x:c r="A20" s="68" t="n">
        <x:v>19</x:v>
      </x:c>
      <x:c r="B20" s="68" t="str">
        <x:v>Events &amp; celebrations</x:v>
      </x:c>
      <x:c r="C20" s="68" t="str">
        <x:v>Multi-event South Asian wedding guest logistics kit</x:v>
      </x:c>
      <x:c r="D20" s="68" t="str">
        <x:v>Couples/families coordinating multi-day, multi-venue weddings for local and overseas guests</x:v>
      </x:c>
      <x:c r="E20" s="68" t="str">
        <x:v>Editable Canva + mobile PDF + print pack</x:v>
      </x:c>
      <x:c r="F20" s="68" t="str">
        <x:v>A flexible schedule and guest-concierge toolkit for mehndi/sangeet/ceremony/reception variants; all cultural labels editable.</x:v>
      </x:c>
      <x:c r="G20" s="68" t="str">
        <x:v>Multi-Day South Asian Wedding Itinerary | Guest Guide &amp; Event Schedule</x:v>
      </x:c>
      <x:c r="H20" s="68" t="str">
        <x:v>Paper &amp; Party Supplies &gt; Paper &gt; Invitations</x:v>
      </x:c>
      <x:c r="I20" s="68" t="str">
        <x:v>south asian wedding | wedding guest guide | multi day wedding | wedding itinerary | mehndi invitation | sangeet schedule | desi wedding planner | guest travel guide | wedding weekend | canva itinerary | Canva template | editable template | digital download</x:v>
      </x:c>
      <x:c r="J20" s="68" t="str">
        <x:v>Event overview with editable ceremony names; transport/pickup plan; dress-code notes; venue maps; family contact cards; photo schedule; guest FAQ; meal/dietary notes; mobile shareable itinerary.</x:v>
      </x:c>
      <x:c r="K20" s="68" t="str">
        <x:v>Premium editorial layout with jewel tones and map/timeline graphics; show multiple events and an uncluttered mobile screen.</x:v>
      </x:c>
      <x:c r="L20" s="68" t="str">
        <x:v>Reduces repetitive guest questions and helps families coordinate a complex itinerary across venues.</x:v>
      </x:c>
      <x:c r="M20" s="68" t="str">
        <x:v>Wedding templates are competitive, but specific multi-event logistics and guest-facing mobile formats can differentiate; validate terminology across diaspora communities.</x:v>
      </x:c>
      <x:c r="N20" s="68" t="str">
        <x:v>Research agent compares buyer language and listing gaps; content agent drafts page copy and information architecture; design agent builds original editable Canva layouts; QA agent checks legibility, mobile thumbnails and editability; mockup agent generates finished-product examples; listing agent writes a clear title, 13 relevant tags, file list and FAQ. Human seller approves final product, claims, rights and Etsy AI disclosure before publishing.</x:v>
      </x:c>
      <x:c r="O20" s="68" t="n">
        <x:v>3</x:v>
      </x:c>
      <x:c r="P20" s="68" t="n">
        <x:v>3</x:v>
      </x:c>
      <x:c r="Q20" s="68" t="n">
        <x:v>5</x:v>
      </x:c>
      <x:c r="R20" s="68" t="n">
        <x:v>4</x:v>
      </x:c>
      <x:c r="S20" s="68" t="n">
        <x:v>5</x:v>
      </x:c>
      <x:c r="T20" s="68" t="n">
        <x:v>5</x:v>
      </x:c>
      <x:c r="U20" s="68" t="n">
        <x:v>4</x:v>
      </x:c>
      <x:c r="V20" s="68" t="n">
        <x:f>ROUND((P20*0.25+Q20*0.20+R20*0.20+S20*0.15+T20*0.10+U20*0.10)*20-MAX(O20-1,0)*3,0)</x:f>
        <x:v>78</x:v>
      </x:c>
      <x:c r="W20" s="68" t="str">
        <x:v>US$12-26</x:v>
      </x:c>
      <x:c r="X20" s="68" t="str">
        <x:v>south asian wedding</x:v>
      </x:c>
      <x:c r="Y20" s="68" t="str">
        <x:v>multi day wedding itinerary</x:v>
      </x:c>
      <x:c r="Z20" s="68" t="str">
        <x:v>https://www.etsy.com/listing/1490832666/wedding-weekend-planner-itinerary</x:v>
      </x:c>
      <x:c r="AA20" s="68" t="str">
        <x:v>Niche hypothesis based on complex logistics; search-volume and competitor review still needed.</x:v>
      </x:c>
      <x:c r="AB20" s="68" t="str">
        <x:v>Make every cultural label optional and editable; avoid claiming one format represents every South Asian wedding tradition.</x:v>
      </x:c>
      <x:c r="AC20" s="68" t="str">
        <x:v>White-space hypothesis</x:v>
      </x:c>
    </x:row>
    <x:row r="21" ht="84" customHeight="1">
      <x:c r="A21" s="68" t="n">
        <x:v>20</x:v>
      </x:c>
      <x:c r="B21" s="68" t="str">
        <x:v>Events &amp; celebrations</x:v>
      </x:c>
      <x:c r="C21" s="68" t="str">
        <x:v>Weather-proof outdoor celebration contingency kit</x:v>
      </x:c>
      <x:c r="D21" s="68" t="str">
        <x:v>Backyard wedding, garden party and outdoor birthday hosts</x:v>
      </x:c>
      <x:c r="E21" s="68" t="str">
        <x:v>Printable PDF + editable timeline</x:v>
      </x:c>
      <x:c r="F21" s="68" t="str">
        <x:v>A decision-ready backup plan for rain, heat, wind, power, shade and guest communication—without pretending to replace local forecasts.</x:v>
      </x:c>
      <x:c r="G21" s="68" t="str">
        <x:v>Outdoor Wedding Backup Plan | Rain, Heat &amp; Guest Communication Checklist</x:v>
      </x:c>
      <x:c r="H21" s="68" t="str">
        <x:v>Paper &amp; Party Supplies &gt; Paper &gt; Templates</x:v>
      </x:c>
      <x:c r="I21" s="68" t="str">
        <x:v>outdoor wedding plan | rain plan wedding | garden party planner | weather backup | wedding checklist | outdoor event plan | wedding timeline | party host guide | backyard wedding | event emergency plan | printable PDF | digital download | fillable PDF</x:v>
      </x:c>
      <x:c r="J21" s="68" t="str">
        <x:v>Go/no-go decision timeline; alternative layout sketch; vendor and rental contact table; guest message templates; heat/shade/water checklist; wet-weather plan; setup timing; roles and responsibilities.</x:v>
      </x:c>
      <x:c r="K21" s="68" t="str">
        <x:v>Split view of sunny garden and simple rain plan, with bold 'PLAN B, READY'; show the checklist itself clearly.</x:v>
      </x:c>
      <x:c r="L21" s="68" t="str">
        <x:v>Solves a time-sensitive anxiety point and can be purchased as part of an event-planning bundle.</x:v>
      </x:c>
      <x:c r="M21" s="68" t="str">
        <x:v>A focused contingency product may face less direct competition than broad wedding planners; validate exact terms and offer a companion day-of binder.</x:v>
      </x:c>
      <x:c r="N21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21" s="68" t="n">
        <x:v>2</x:v>
      </x:c>
      <x:c r="P21" s="68" t="n">
        <x:v>3</x:v>
      </x:c>
      <x:c r="Q21" s="68" t="n">
        <x:v>5</x:v>
      </x:c>
      <x:c r="R21" s="68" t="n">
        <x:v>5</x:v>
      </x:c>
      <x:c r="S21" s="68" t="n">
        <x:v>5</x:v>
      </x:c>
      <x:c r="T21" s="68" t="n">
        <x:v>3</x:v>
      </x:c>
      <x:c r="U21" s="68" t="n">
        <x:v>4</x:v>
      </x:c>
      <x:c r="V21" s="68" t="n">
        <x:f>ROUND((P21*0.25+Q21*0.20+R21*0.20+S21*0.15+T21*0.10+U21*0.10)*20-MAX(O21-1,0)*3,0)</x:f>
        <x:v>81</x:v>
      </x:c>
      <x:c r="W21" s="68" t="str">
        <x:v>US$6-13</x:v>
      </x:c>
      <x:c r="X21" s="68" t="str">
        <x:v>outdoor wedding backup</x:v>
      </x:c>
      <x:c r="Y21" s="68" t="str">
        <x:v>rain plan wedding</x:v>
      </x:c>
      <x:c r="Z21" s="68" t="str">
        <x:v>https://www.etsy.com/listing/1490832666/wedding-weekend-planner-itinerary</x:v>
      </x:c>
      <x:c r="AA21" s="68" t="str">
        <x:v>Proposed micro-niche; not evidence that competing listings are absent.</x:v>
      </x:c>
      <x:c r="AB21" s="68" t="str">
        <x:v>Use local official weather alerts for live decisions; avoid universal safety thresholds or guarantees.</x:v>
      </x:c>
      <x:c r="AC21" s="68" t="str">
        <x:v>White-space hypothesis</x:v>
      </x:c>
    </x:row>
    <x:row r="22" ht="84" customHeight="1">
      <x:c r="A22" s="68" t="n">
        <x:v>21</x:v>
      </x:c>
      <x:c r="B22" s="68" t="str">
        <x:v>Education &amp; learning</x:v>
      </x:c>
      <x:c r="C22" s="68" t="str">
        <x:v>Homeschool nature-journal and field-trip portfolio</x:v>
      </x:c>
      <x:c r="D22" s="68" t="str">
        <x:v>Homeschool families and nature-school educators</x:v>
      </x:c>
      <x:c r="E22" s="68" t="str">
        <x:v>Printable PDF journal + optional digital annotation version</x:v>
      </x:c>
      <x:c r="F22" s="68" t="str">
        <x:v>Connect nature observations with field-trip reflection and evidence of learning rather than a generic homeschool planner.</x:v>
      </x:c>
      <x:c r="G22" s="68" t="str">
        <x:v>Homeschool Nature Journal | Field Trip Log, Observation Sheets &amp; Portfolio</x:v>
      </x:c>
      <x:c r="H22" s="68" t="str">
        <x:v>Paper &amp; Party Supplies &gt; Paper &gt; Templates</x:v>
      </x:c>
      <x:c r="I22" s="68" t="str">
        <x:v>homeschool nature | field trip log | nature journal kids | outdoor learning | homeschool record | science observation | nature study | homeschool printable | field trip report | learning portfolio | printable PDF | digital download | fillable PDF</x:v>
      </x:c>
      <x:c r="J22" s="68" t="str">
        <x:v>Before/during/after trip prompts; sensory/visual observation pages; vocabulary capture; sketch/photo frame; question-to-research log; parent reflection; field-trip portfolio index; reusable yearly pages.</x:v>
      </x:c>
      <x:c r="K22" s="68" t="str">
        <x:v>Illustrated notebook with magnifier, leaf and bird silhouettes; feature one sample observation page in readable size.</x:v>
      </x:c>
      <x:c r="L22" s="68" t="str">
        <x:v>Makes outdoor learning easier to document and gives families a repeatable portfolio format.</x:v>
      </x:c>
      <x:c r="M22" s="68" t="str">
        <x:v>Public field-trip report listings show a real parent category, including one with 58 reviews; combining nature journaling and portfolio organisation is the differentiator.</x:v>
      </x:c>
      <x:c r="N22" s="68" t="str">
        <x:v>Research agent gathers only current authoritative references and marks uncertain statements; outline agent drafts a neutral organizer with blank user-entered fields; domain/human reviewer checks safety, legal, animal-care or factual claims; layout agent creates accessible editable pages; QA agent checks disclaimers, links, privacy and print sizes; listing agent builds previews/SEO. Human seller approves final product, claims, rights and Etsy AI disclosure before publishing.</x:v>
      </x:c>
      <x:c r="O22" s="68" t="n">
        <x:v>3</x:v>
      </x:c>
      <x:c r="P22" s="68" t="n">
        <x:v>4</x:v>
      </x:c>
      <x:c r="Q22" s="68" t="n">
        <x:v>4</x:v>
      </x:c>
      <x:c r="R22" s="68" t="n">
        <x:v>4</x:v>
      </x:c>
      <x:c r="S22" s="68" t="n">
        <x:v>5</x:v>
      </x:c>
      <x:c r="T22" s="68" t="n">
        <x:v>3</x:v>
      </x:c>
      <x:c r="U22" s="68" t="n">
        <x:v>5</x:v>
      </x:c>
      <x:c r="V22" s="68" t="n">
        <x:f>ROUND((P22*0.25+Q22*0.20+R22*0.20+S22*0.15+T22*0.10+U22*0.10)*20-MAX(O22-1,0)*3,0)</x:f>
        <x:v>77</x:v>
      </x:c>
      <x:c r="W22" s="68" t="str">
        <x:v>US$6-13</x:v>
      </x:c>
      <x:c r="X22" s="68" t="str">
        <x:v>homeschool nature journal</x:v>
      </x:c>
      <x:c r="Y22" s="68" t="str">
        <x:v>field trip log printable</x:v>
      </x:c>
      <x:c r="Z22" s="68" t="str">
        <x:v>https://www.etsy.com/listing/1582785930/field-trip-report-printable-homeschool</x:v>
      </x:c>
      <x:c r="AA22" s="68" t="str">
        <x:v>Parent category has visible review evidence; exact combination needs validation.</x:v>
      </x:c>
      <x:c r="AB22" s="68" t="str">
        <x:v>Fact-check any included nature identification content; prefer blank observation templates over unverified species claims.</x:v>
      </x:c>
      <x:c r="AC22" s="68" t="str">
        <x:v>Evidence-backed parent niche</x:v>
      </x:c>
    </x:row>
    <x:row r="23" ht="84" customHeight="1">
      <x:c r="A23" s="68" t="n">
        <x:v>22</x:v>
      </x:c>
      <x:c r="B23" s="68" t="str">
        <x:v>Education &amp; learning</x:v>
      </x:c>
      <x:c r="C23" s="68" t="str">
        <x:v>City wildlife observation learning pack</x:v>
      </x:c>
      <x:c r="D23" s="68" t="str">
        <x:v>Homeschool educators, primary teachers and urban families</x:v>
      </x:c>
      <x:c r="E23" s="68" t="str">
        <x:v>Printable activity cards + observation journal</x:v>
      </x:c>
      <x:c r="F23" s="68" t="str">
        <x:v>A local-habitat learning resource for parks, gardens and street wildlife; make region-specific editions after validating demand.</x:v>
      </x:c>
      <x:c r="G23" s="68" t="str">
        <x:v>Urban Nature Study Pack | Birds, Insects &amp; Park Observation Journal</x:v>
      </x:c>
      <x:c r="H23" s="68" t="str">
        <x:v>Paper &amp; Party Supplies &gt; Paper &gt; Templates</x:v>
      </x:c>
      <x:c r="I23" s="68" t="str">
        <x:v>urban nature study | outdoor learning | nature activity kids | wildlife journal | homeschool science | bird observation | insect journal | park scavenger hunt | science printable | nature walk kids | printable PDF | digital download | fillable PDF</x:v>
      </x:c>
      <x:c r="J23" s="68" t="str">
        <x:v>Observation prompts; habitat sketch; behaviour notes; weather/time field; question cards; no-touch wildlife etiquette; compare-two-visits worksheet; child-friendly vocabulary page; regional blank species list.</x:v>
      </x:c>
      <x:c r="K23" s="68" t="str">
        <x:v>Naturalist field notebook style with one large illustrated observation page; avoid dense clipart.</x:v>
      </x:c>
      <x:c r="L23" s="68" t="str">
        <x:v>Supports low-prep outdoor learning and can be localised into multiple editions without copying curriculum.</x:v>
      </x:c>
      <x:c r="M23" s="68" t="str">
        <x:v>A specific urban-habitat angle is narrower than broad nature study; research which local terms and age bands have enough search demand.</x:v>
      </x:c>
      <x:c r="N23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23" s="68" t="n">
        <x:v>2</x:v>
      </x:c>
      <x:c r="P23" s="68" t="n">
        <x:v>3</x:v>
      </x:c>
      <x:c r="Q23" s="68" t="n">
        <x:v>4</x:v>
      </x:c>
      <x:c r="R23" s="68" t="n">
        <x:v>5</x:v>
      </x:c>
      <x:c r="S23" s="68" t="n">
        <x:v>5</x:v>
      </x:c>
      <x:c r="T23" s="68" t="n">
        <x:v>3</x:v>
      </x:c>
      <x:c r="U23" s="68" t="n">
        <x:v>4</x:v>
      </x:c>
      <x:c r="V23" s="68" t="n">
        <x:f>ROUND((P23*0.25+Q23*0.20+R23*0.20+S23*0.15+T23*0.10+U23*0.10)*20-MAX(O23-1,0)*3,0)</x:f>
        <x:v>77</x:v>
      </x:c>
      <x:c r="W23" s="68" t="str">
        <x:v>US$5-12</x:v>
      </x:c>
      <x:c r="X23" s="68" t="str">
        <x:v>urban nature study</x:v>
      </x:c>
      <x:c r="Y23" s="68" t="str">
        <x:v>wildlife journal kids</x:v>
      </x:c>
      <x:c r="Z23" s="68" t="str">
        <x:v>https://www.etsy.com/listing/1582785930/field-trip-report-printable-homeschool</x:v>
      </x:c>
      <x:c r="AA23" s="68" t="str">
        <x:v>White-space hypothesis; verify local/age-specific search behaviour.</x:v>
      </x:c>
      <x:c r="AB23" s="68" t="str">
        <x:v>Use qualified review for species facts and wildlife safety; distinguish general observation from formal curriculum accreditation.</x:v>
      </x:c>
      <x:c r="AC23" s="68" t="str">
        <x:v>White-space hypothesis</x:v>
      </x:c>
    </x:row>
    <x:row r="24" ht="84" customHeight="1">
      <x:c r="A24" s="68" t="n">
        <x:v>23</x:v>
      </x:c>
      <x:c r="B24" s="68" t="str">
        <x:v>Education &amp; learning</x:v>
      </x:c>
      <x:c r="C24" s="68" t="str">
        <x:v>Low-friction school morning launch pad</x:v>
      </x:c>
      <x:c r="D24" s="68" t="str">
        <x:v>Families wanting visual routines and fewer forgotten school items</x:v>
      </x:c>
      <x:c r="E24" s="68" t="str">
        <x:v>Printable visual cards + editable weekly board</x:v>
      </x:c>
      <x:c r="F24" s="68" t="str">
        <x:v>Focus on the school launch routine for older children, with choice-based prompts and age-respectful design—not babyish clipart.</x:v>
      </x:c>
      <x:c r="G24" s="68" t="str">
        <x:v>School Morning Routine Kit | Visual Checklist, Backpack &amp; Launch Pad</x:v>
      </x:c>
      <x:c r="H24" s="68" t="str">
        <x:v>Paper &amp; Party Supplies &gt; Paper &gt; Templates</x:v>
      </x:c>
      <x:c r="I24" s="68" t="str">
        <x:v>visual routine cards | backpack checklist | school checklist | kids routine chart | after school routine | morning checklist | tween planner | school printable | printable PDF | digital download | fillable PDF | instant download | planner printable</x:v>
      </x:c>
      <x:c r="J24" s="68" t="str">
        <x:v>Editable morning sequence; backpack/equipment checklist; night-before reset; weekly special-item reminder; calm alternative for late mornings; choice board; blank icon cards; family setup guide.</x:v>
      </x:c>
      <x:c r="K24" s="68" t="str">
        <x:v>Modern icons in high-contrast colours, photographed on a fridge or clipboard; cover text 'LESS REMINDING. MORE READY.'</x:v>
      </x:c>
      <x:c r="L24" s="68" t="str">
        <x:v>Gives families a visual tool they can customise to their own school routine and child's age.</x:v>
      </x:c>
      <x:c r="M24" s="68" t="str">
        <x:v>Routine charts are a competitive broad space, but a visually mature school-focused set is a defined long-tail position.</x:v>
      </x:c>
      <x:c r="N24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24" s="68" t="n">
        <x:v>4</x:v>
      </x:c>
      <x:c r="P24" s="68" t="n">
        <x:v>4</x:v>
      </x:c>
      <x:c r="Q24" s="68" t="n">
        <x:v>4</x:v>
      </x:c>
      <x:c r="R24" s="68" t="n">
        <x:v>3</x:v>
      </x:c>
      <x:c r="S24" s="68" t="n">
        <x:v>5</x:v>
      </x:c>
      <x:c r="T24" s="68" t="n">
        <x:v>3</x:v>
      </x:c>
      <x:c r="U24" s="68" t="n">
        <x:v>5</x:v>
      </x:c>
      <x:c r="V24" s="68" t="n">
        <x:f>ROUND((P24*0.25+Q24*0.20+R24*0.20+S24*0.15+T24*0.10+U24*0.10)*20-MAX(O24-1,0)*3,0)</x:f>
        <x:v>70</x:v>
      </x:c>
      <x:c r="W24" s="68" t="str">
        <x:v>US$5-11</x:v>
      </x:c>
      <x:c r="X24" s="68" t="str">
        <x:v>school morning routine</x:v>
      </x:c>
      <x:c r="Y24" s="68" t="str">
        <x:v>backpack checklist</x:v>
      </x:c>
      <x:c r="Z24" s="68" t="str">
        <x:v>https://www.etsy.com/listing/4583425192/adhd-cleaning-planner-printable-home</x:v>
      </x:c>
      <x:c r="AA24" s="68" t="str">
        <x:v>Routine/planner market is established; differentiate by age and practical school-launch use.</x:v>
      </x:c>
      <x:c r="AB24" s="68" t="str">
        <x:v>Avoid diagnosis/treatment claims; use accessible, non-stigmatising language and editable icons/text.</x:v>
      </x:c>
      <x:c r="AC24" s="68" t="str">
        <x:v>White-space hypothesis</x:v>
      </x:c>
    </x:row>
    <x:row r="25" ht="84" customHeight="1">
      <x:c r="A25" s="68" t="n">
        <x:v>24</x:v>
      </x:c>
      <x:c r="B25" s="68" t="str">
        <x:v>Education &amp; learning</x:v>
      </x:c>
      <x:c r="C25" s="68" t="str">
        <x:v>Middle-school long-project manager</x:v>
      </x:c>
      <x:c r="D25" s="68" t="str">
        <x:v>Students aged roughly 11–15 and parents supporting longer assignments</x:v>
      </x:c>
      <x:c r="E25" s="68" t="str">
        <x:v>Printable planner + fillable spreadsheet</x:v>
      </x:c>
      <x:c r="F25" s="68" t="str">
        <x:v>Turns a vague multi-week project into small milestone steps, evidence collection and a teacher-question log.</x:v>
      </x:c>
      <x:c r="G25" s="68" t="str">
        <x:v>Middle School Project Planner | Due Dates, Milestones &amp; Study Tracker</x:v>
      </x:c>
      <x:c r="H25" s="68" t="str">
        <x:v>Paper &amp; Party Supplies &gt; Paper &gt; Templates</x:v>
      </x:c>
      <x:c r="I25" s="68" t="str">
        <x:v>assignment tracker | due date planner | study checklist | student planner | homework organizer | project milestones | teen study planner | school printable | Excel template | Google Sheets | fillable tracker | instant download | planner printable</x:v>
      </x:c>
      <x:c r="J25" s="68" t="str">
        <x:v>Assignment breakdown; backward plan from due date; research source log; question-for-teacher page; materials checklist; work session tracker; group-project roles; final submission checklist; reflection page.</x:v>
      </x:c>
      <x:c r="K25" s="68" t="str">
        <x:v>Clean notebook style with milestone path graphic and visible week-by-week planner; no childish graphics.</x:v>
      </x:c>
      <x:c r="L25" s="68" t="str">
        <x:v>Helps students start earlier by making the next step visible, not by simply adding more calendar pages.</x:v>
      </x:c>
      <x:c r="M25" s="68" t="str">
        <x:v>Generic student planners are competitive; a specific long-project workflow and age-respectful look create a clearer promise.</x:v>
      </x:c>
      <x:c r="N25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25" s="68" t="n">
        <x:v>3</x:v>
      </x:c>
      <x:c r="P25" s="68" t="n">
        <x:v>3</x:v>
      </x:c>
      <x:c r="Q25" s="68" t="n">
        <x:v>4</x:v>
      </x:c>
      <x:c r="R25" s="68" t="n">
        <x:v>4</x:v>
      </x:c>
      <x:c r="S25" s="68" t="n">
        <x:v>5</x:v>
      </x:c>
      <x:c r="T25" s="68" t="n">
        <x:v>3</x:v>
      </x:c>
      <x:c r="U25" s="68" t="n">
        <x:v>5</x:v>
      </x:c>
      <x:c r="V25" s="68" t="n">
        <x:f>ROUND((P25*0.25+Q25*0.20+R25*0.20+S25*0.15+T25*0.10+U25*0.10)*20-MAX(O25-1,0)*3,0)</x:f>
        <x:v>72</x:v>
      </x:c>
      <x:c r="W25" s="68" t="str">
        <x:v>US$5-12</x:v>
      </x:c>
      <x:c r="X25" s="68" t="str">
        <x:v>school project planner</x:v>
      </x:c>
      <x:c r="Y25" s="68" t="str">
        <x:v>assignment milestone tracker</x:v>
      </x:c>
      <x:c r="Z25" s="68" t="str">
        <x:v>https://www.etsy.com/listing/838160150/teacher-digital-planner-teacher-planner</x:v>
      </x:c>
      <x:c r="AA25" s="68" t="str">
        <x:v>Established planner parent category; the long-project positioning needs validation.</x:v>
      </x:c>
      <x:c r="AB25" s="68" t="str">
        <x:v>Do not use copyrighted school workbook pages or imply school-system endorsement; test with age-appropriate users.</x:v>
      </x:c>
      <x:c r="AC25" s="68" t="str">
        <x:v>White-space hypothesis</x:v>
      </x:c>
    </x:row>
    <x:row r="26" ht="84" customHeight="1">
      <x:c r="A26" s="68" t="n">
        <x:v>25</x:v>
      </x:c>
      <x:c r="B26" s="68" t="str">
        <x:v>Education &amp; learning</x:v>
      </x:c>
      <x:c r="C26" s="68" t="str">
        <x:v>No-tech substitute teacher activity pack</x:v>
      </x:c>
      <x:c r="D26" s="68" t="str">
        <x:v>Substitute teachers who need flexible, low-prep backup activities</x:v>
      </x:c>
      <x:c r="E26" s="68" t="str">
        <x:v>Printable activity bank organized by grade band and subject</x:v>
      </x:c>
      <x:c r="F26" s="68" t="str">
        <x:v>Designed for the day when technology, printing or lesson notes are unavailable; include instructions, timing and materials.</x:v>
      </x:c>
      <x:c r="G26" s="68" t="str">
        <x:v>No-Tech Substitute Teacher Kit | Emergency Activities &amp; Classroom Plans</x:v>
      </x:c>
      <x:c r="H26" s="68" t="str">
        <x:v>Paper &amp; Party Supplies &gt; Paper &gt; Templates</x:v>
      </x:c>
      <x:c r="I26" s="68" t="str">
        <x:v>sub plans printable | no prep activities | classroom activity | no tech lesson | substitute binder | early finisher tasks | teacher printable | classroom games | printable PDF | digital download | fillable PDF | instant download | planner printable</x:v>
      </x:c>
      <x:c r="J26" s="68" t="str">
        <x:v>Ready-to-run activities with age bands; one-page instruction sheet; timing/materials; quiet and movement options; early-finisher tasks; classroom routine notes; editable class info; reflection/incident log.</x:v>
      </x:c>
      <x:c r="K26" s="68" t="str">
        <x:v>Teacher clipboard mockup with clearly visible activity-card categories; bold 'NO WIFI? STILL READY.'</x:v>
      </x:c>
      <x:c r="L26" s="68" t="str">
        <x:v>Offers a time-saving, practical backup when a substitute does not know the class or has limited resources.</x:v>
      </x:c>
      <x:c r="M26" s="68" t="str">
        <x:v>Teacher-planner results show strong existing supply but also crowding; no-tech, minimal-material substitute activities are a more specific positioning.</x:v>
      </x:c>
      <x:c r="N26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26" s="68" t="n">
        <x:v>3</x:v>
      </x:c>
      <x:c r="P26" s="68" t="n">
        <x:v>4</x:v>
      </x:c>
      <x:c r="Q26" s="68" t="n">
        <x:v>5</x:v>
      </x:c>
      <x:c r="R26" s="68" t="n">
        <x:v>4</x:v>
      </x:c>
      <x:c r="S26" s="68" t="n">
        <x:v>5</x:v>
      </x:c>
      <x:c r="T26" s="68" t="n">
        <x:v>4</x:v>
      </x:c>
      <x:c r="U26" s="68" t="n">
        <x:v>5</x:v>
      </x:c>
      <x:c r="V26" s="68" t="n">
        <x:f>ROUND((P26*0.25+Q26*0.20+R26*0.20+S26*0.15+T26*0.10+U26*0.10)*20-MAX(O26-1,0)*3,0)</x:f>
        <x:v>83</x:v>
      </x:c>
      <x:c r="W26" s="68" t="str">
        <x:v>US$9-18</x:v>
      </x:c>
      <x:c r="X26" s="68" t="str">
        <x:v>no tech sub plans</x:v>
      </x:c>
      <x:c r="Y26" s="68" t="str">
        <x:v>substitute teacher kit</x:v>
      </x:c>
      <x:c r="Z26" s="68" t="str">
        <x:v>https://www.etsy.com/listing/838160150/teacher-digital-planner-teacher-planner</x:v>
      </x:c>
      <x:c r="AA26" s="68" t="str">
        <x:v>Teacher planning is established; this niche needs educator QA and keyword validation.</x:v>
      </x:c>
      <x:c r="AB26" s="68" t="str">
        <x:v>Have an educator review all activities, grade suitability and safety; do not reproduce licensed curriculum material.</x:v>
      </x:c>
      <x:c r="AC26" s="68" t="str">
        <x:v>White-space hypothesis</x:v>
      </x:c>
    </x:row>
    <x:row r="27" ht="84" customHeight="1">
      <x:c r="A27" s="68" t="n">
        <x:v>26</x:v>
      </x:c>
      <x:c r="B27" s="68" t="str">
        <x:v>Reading &amp; hobby communities</x:v>
      </x:c>
      <x:c r="C27" s="68" t="str">
        <x:v>Book-club membership and rotation manager</x:v>
      </x:c>
      <x:c r="D27" s="68" t="str">
        <x:v>Book-club organisers who coordinate a recurring group</x:v>
      </x:c>
      <x:c r="E27" s="68" t="str">
        <x:v>Google Sheets + printable meeting pages</x:v>
      </x:c>
      <x:c r="F27" s="68" t="str">
        <x:v>Operations rather than decoration: roster, availability, voting, hosting rotation, book history and respectful discussion agreements.</x:v>
      </x:c>
      <x:c r="G27" s="68" t="str">
        <x:v>Book Club Organizer Spreadsheet | Reading Votes, Host Rotation &amp; Meeting Log</x:v>
      </x:c>
      <x:c r="H27" s="68" t="str">
        <x:v>Templates &gt; Templates &gt; Planner Templates</x:v>
      </x:c>
      <x:c r="I27" s="68" t="str">
        <x:v>book club tracker | book vote sheet | host rotation | book club roster | meeting log | reading challenge | book group organizer | Excel template | Google Sheets | fillable tracker | instant download | planner printable | editable PDF</x:v>
      </x:c>
      <x:c r="J27" s="68" t="str">
        <x:v>Member roster; meeting-date poll; nominee/voting sheet; host rotation; read-history database; attendance; budget/potluck tracker; accessibility/preferences page; annual review.</x:v>
      </x:c>
      <x:c r="K27" s="68" t="str">
        <x:v>A simple spreadsheet dashboard next to a printed meeting agenda; feature 'VOTE • SCHEDULE • REMEMBER'.</x:v>
      </x:c>
      <x:c r="L27" s="68" t="str">
        <x:v>Solves recurring coordination pain and supports a higher-value spreadsheet price than a single printable page.</x:v>
      </x:c>
      <x:c r="M27" s="68" t="str">
        <x:v>Public book-club kits are established, but club-operation spreadsheets are a more specific B2B-ish angle for recurring groups.</x:v>
      </x:c>
      <x:c r="N27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27" s="68" t="n">
        <x:v>2</x:v>
      </x:c>
      <x:c r="P27" s="68" t="n">
        <x:v>3</x:v>
      </x:c>
      <x:c r="Q27" s="68" t="n">
        <x:v>4</x:v>
      </x:c>
      <x:c r="R27" s="68" t="n">
        <x:v>5</x:v>
      </x:c>
      <x:c r="S27" s="68" t="n">
        <x:v>5</x:v>
      </x:c>
      <x:c r="T27" s="68" t="n">
        <x:v>4</x:v>
      </x:c>
      <x:c r="U27" s="68" t="n">
        <x:v>5</x:v>
      </x:c>
      <x:c r="V27" s="68" t="n">
        <x:f>ROUND((P27*0.25+Q27*0.20+R27*0.20+S27*0.15+T27*0.10+U27*0.10)*20-MAX(O27-1,0)*3,0)</x:f>
        <x:v>81</x:v>
      </x:c>
      <x:c r="W27" s="68" t="str">
        <x:v>US$8-16</x:v>
      </x:c>
      <x:c r="X27" s="68" t="str">
        <x:v>book club spreadsheet</x:v>
      </x:c>
      <x:c r="Y27" s="68" t="str">
        <x:v>book club roster</x:v>
      </x:c>
      <x:c r="Z27" s="68" t="str">
        <x:v>https://www.etsy.com/listing/1461001794/printable-book-club-kit-bookclub-guide</x:v>
      </x:c>
      <x:c r="AA27" s="68" t="str">
        <x:v>Adjacent reading-kit evidence; spreadsheet-specific demand unverified.</x:v>
      </x:c>
      <x:c r="AB27" s="68" t="str">
        <x:v>Ensure spreadsheet works in the advertised apps and explain how to make a copy; never expose member data in listing screenshots.</x:v>
      </x:c>
      <x:c r="AC27" s="68" t="str">
        <x:v>White-space hypothesis</x:v>
      </x:c>
    </x:row>
    <x:row r="28" ht="84" customHeight="1">
      <x:c r="A28" s="68" t="n">
        <x:v>27</x:v>
      </x:c>
      <x:c r="B28" s="68" t="str">
        <x:v>Reading &amp; hobby communities</x:v>
      </x:c>
      <x:c r="C28" s="68" t="str">
        <x:v>System-agnostic tabletop RPG continuity binder</x:v>
      </x:c>
      <x:c r="D28" s="68" t="str">
        <x:v>Game masters and tabletop role-playing groups</x:v>
      </x:c>
      <x:c r="E28" s="68" t="str">
        <x:v>Printable PDF + hyperlinked digital notes</x:v>
      </x:c>
      <x:c r="F28" s="68" t="str">
        <x:v>A system-neutral campaign record that helps a GM remember NPC motivations, unresolved threads and session-to-session continuity.</x:v>
      </x:c>
      <x:c r="G28" s="68" t="str">
        <x:v>Tabletop RPG Campaign Binder | NPC Tracker, Session Log &amp; Story Threads</x:v>
      </x:c>
      <x:c r="H28" s="68" t="str">
        <x:v>Paper &amp; Party Supplies &gt; Paper &gt; Templates</x:v>
      </x:c>
      <x:c r="I28" s="68" t="str">
        <x:v>rpg campaign planner | game master binder | npc tracker | session notes | ttrpg printable | campaign log | dungeon master notes | quest tracker | fantasy game planner | printable PDF | digital download | fillable PDF | instant download</x:v>
      </x:c>
      <x:c r="J28" s="68" t="str">
        <x:v>Campaign overview; NPC relationships; places/factions; open quest threads; session recap; player goals; clues and secrets tracker; treasure/loot log; downtime notes; printable initiative page.</x:v>
      </x:c>
      <x:c r="K28" s="68" t="str">
        <x:v>Fantasy cartography-inspired background with a sharply legible sample NPC relationship map; avoid any franchise logos.</x:v>
      </x:c>
      <x:c r="L28" s="68" t="str">
        <x:v>Reduces GM cognitive load between sessions and helps campaigns remain coherent over months.</x:v>
      </x:c>
      <x:c r="M28" s="68" t="str">
        <x:v>Highly engaged hobby audiences often buy tools, but RPG templates exist; system-agnostic continuity rather than generic character sheets is the distinction.</x:v>
      </x:c>
      <x:c r="N28" s="68" t="str">
        <x:v>Research agent maps search intent and competitor gaps; content agent creates an original structured page plan; design agent lays out print-ready US Letter/A4 and fillable versions; QA agent checks copy, contrast, margins, links and originality; mockup agent creates readable product previews; listing agent packages files, compatibility notes, title/tags and buyer FAQ. Human seller approves final product, claims, rights and Etsy AI disclosure before publishing.</x:v>
      </x:c>
      <x:c r="O28" s="68" t="n">
        <x:v>3</x:v>
      </x:c>
      <x:c r="P28" s="68" t="n">
        <x:v>3</x:v>
      </x:c>
      <x:c r="Q28" s="68" t="n">
        <x:v>4</x:v>
      </x:c>
      <x:c r="R28" s="68" t="n">
        <x:v>4</x:v>
      </x:c>
      <x:c r="S28" s="68" t="n">
        <x:v>5</x:v>
      </x:c>
      <x:c r="T28" s="68" t="n">
        <x:v>4</x:v>
      </x:c>
      <x:c r="U28" s="68" t="n">
        <x:v>5</x:v>
      </x:c>
      <x:c r="V28" s="68" t="n">
        <x:f>ROUND((P28*0.25+Q28*0.20+R28*0.20+S28*0.15+T28*0.10+U28*0.10)*20-MAX(O28-1,0)*3,0)</x:f>
        <x:v>74</x:v>
      </x:c>
      <x:c r="W28" s="68" t="str">
        <x:v>US$7-16</x:v>
      </x:c>
      <x:c r="X28" s="68" t="str">
        <x:v>rpg campaign binder</x:v>
      </x:c>
      <x:c r="Y28" s="68" t="str">
        <x:v>npc tracker printable</x:v>
      </x:c>
      <x:c r="Z28" s="68" t="str">
        <x:v>https://www.etsy.com/listing/1700154185/the-people-we-keep-book-club-kit</x:v>
      </x:c>
      <x:c r="AA28" s="68" t="str">
        <x:v>Niche-market hypothesis; verify adjacent creators and platform/IP constraints.</x:v>
      </x:c>
      <x:c r="AB28" s="68" t="str">
        <x:v>Keep game rules and artwork original; avoid trademarks, logos, setting names and copied mechanics text from game publishers.</x:v>
      </x:c>
      <x:c r="AC28" s="68" t="str">
        <x:v>White-space hypothesis</x:v>
      </x:c>
    </x:row>
    <x:row r="29" ht="84" customHeight="1">
      <x:c r="A29" s="68" t="n">
        <x:v>28</x:v>
      </x:c>
      <x:c r="B29" s="68" t="str">
        <x:v>Reading &amp; hobby communities</x:v>
      </x:c>
      <x:c r="C29" s="68" t="str">
        <x:v>Original mystery dinner party game</x:v>
      </x:c>
      <x:c r="D29" s="68" t="str">
        <x:v>Hosts planning an adult dinner, game night or small gathering</x:v>
      </x:c>
      <x:c r="E29" s="68" t="str">
        <x:v>Digital game bundle with printable roles, clues and host guide</x:v>
      </x:c>
      <x:c r="F29" s="68" t="str">
        <x:v>An original short mystery story, made for a specific group size and run time; different from generic party-planning pages.</x:v>
      </x:c>
      <x:c r="G29" s="68" t="str">
        <x:v>Mystery Dinner Party Game for 6–10 Players | Printable Clues &amp; Host Guide</x:v>
      </x:c>
      <x:c r="H29" s="68" t="str">
        <x:v>Paper &amp; Party Supplies &gt; Party Supplies &gt; Games &amp; Activities</x:v>
      </x:c>
      <x:c r="I29" s="68" t="str">
        <x:v>mystery dinner game | printable party game | murder mystery party | dinner party game | clue cards printable | adult game night | group mystery | party host guide | printable mystery | interactive game | editable template | digital download | printable PDF</x:v>
      </x:c>
      <x:c r="J29" s="68" t="str">
        <x:v>Original premise and roles; host setup guide; clue cards; timed reveal sequence; optional low-complexity version; player role briefs; printable evidence props; ending/explanation; accessibility alternatives.</x:v>
      </x:c>
      <x:c r="K29" s="68" t="str">
        <x:v>Show a small stack of original evidence cards and a table setting; communicate player count and runtime at thumbnail size.</x:v>
      </x:c>
      <x:c r="L29" s="68" t="str">
        <x:v>Delivers a complete experience rather than a generic planner, supporting a higher price and gifting potential.</x:v>
      </x:c>
      <x:c r="M29" s="68" t="str">
        <x:v>A finished, tested game can stand out more than commodity pages, but the buyer expects a coherent, play-tested story; competitor and IP review are essential.</x:v>
      </x:c>
      <x:c r="N29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29" s="68" t="n">
        <x:v>3</x:v>
      </x:c>
      <x:c r="P29" s="68" t="n">
        <x:v>3</x:v>
      </x:c>
      <x:c r="Q29" s="68" t="n">
        <x:v>5</x:v>
      </x:c>
      <x:c r="R29" s="68" t="n">
        <x:v>4</x:v>
      </x:c>
      <x:c r="S29" s="68" t="n">
        <x:v>5</x:v>
      </x:c>
      <x:c r="T29" s="68" t="n">
        <x:v>5</x:v>
      </x:c>
      <x:c r="U29" s="68" t="n">
        <x:v>4</x:v>
      </x:c>
      <x:c r="V29" s="68" t="n">
        <x:f>ROUND((P29*0.25+Q29*0.20+R29*0.20+S29*0.15+T29*0.10+U29*0.10)*20-MAX(O29-1,0)*3,0)</x:f>
        <x:v>78</x:v>
      </x:c>
      <x:c r="W29" s="68" t="str">
        <x:v>US$12-24</x:v>
      </x:c>
      <x:c r="X29" s="68" t="str">
        <x:v>printable mystery game</x:v>
      </x:c>
      <x:c r="Y29" s="68" t="str">
        <x:v>dinner party game</x:v>
      </x:c>
      <x:c r="Z29" s="68" t="str">
        <x:v>https://www.etsy.com/au/seller-handbook/article/1521255894814</x:v>
      </x:c>
      <x:c r="AA29" s="68" t="str">
        <x:v>Hypothesis; don't infer demand from overall party supply trends alone.</x:v>
      </x:c>
      <x:c r="AB29" s="68" t="str">
        <x:v>Human playtest is essential for plot logic, fairness and sensitivity; all story text and visuals must be original.</x:v>
      </x:c>
      <x:c r="AC29" s="68" t="str">
        <x:v>White-space hypothesis</x:v>
      </x:c>
    </x:row>
    <x:row r="30" ht="84" customHeight="1">
      <x:c r="A30" s="68" t="n">
        <x:v>29</x:v>
      </x:c>
      <x:c r="B30" s="68" t="str">
        <x:v>Reading &amp; hobby communities</x:v>
      </x:c>
      <x:c r="C30" s="68" t="str">
        <x:v>Beginner sewing fit and alteration journal</x:v>
      </x:c>
      <x:c r="D30" s="68" t="str">
        <x:v>Beginner sewists learning to fit commercial patterns to their own measurements</x:v>
      </x:c>
      <x:c r="E30" s="68" t="str">
        <x:v>Printable journal + measurement templates</x:v>
      </x:c>
      <x:c r="F30" s="68" t="str">
        <x:v>A pattern-learning log for recording adjustments, muslins, fit notes and outcomes—not a generic sewing planner.</x:v>
      </x:c>
      <x:c r="G30" s="68" t="str">
        <x:v>Sewing Pattern Fit Journal | Measurements, Muslin Notes &amp; Alteration Log</x:v>
      </x:c>
      <x:c r="H30" s="68" t="str">
        <x:v>Paper &amp; Party Supplies &gt; Paper &gt; Templates</x:v>
      </x:c>
      <x:c r="I30" s="68" t="str">
        <x:v>sewing fit journal | sewing pattern log | alteration tracker | garment sewing | muslin notes | sewing planner | pattern adjustments | sewist journal | sewing measurements | beginner sewing | printable PDF | digital download | fillable PDF</x:v>
      </x:c>
      <x:c r="J30" s="68" t="str">
        <x:v>Pattern/source record; date and fabric; measurement snapshot; muslin issue list; alteration sketch page; fit-check photos; final adjustment record; repeatable pattern history; lessons learned.</x:v>
      </x:c>
      <x:c r="K30" s="68" t="str">
        <x:v>Textured paper, garment outline and clear measurement/alteration page; show a before/after fit-note example.</x:v>
      </x:c>
      <x:c r="L30" s="68" t="str">
        <x:v>Helps sewists avoid repeating trial-and-error and builds a personal knowledge base for future makes.</x:v>
      </x:c>
      <x:c r="M30" s="68" t="str">
        <x:v>Etsy's latest report notes sewing patterns for beginners +125%; this is a craft-adjacent demand signal, while a fit journal may have less direct competition than patterns.</x:v>
      </x:c>
      <x:c r="N30" s="68" t="str">
        <x:v>Research agent maps search intent and competitor gaps; content agent creates an original structured page plan; design agent lays out print-ready US Letter/A4 and fillable versions; QA agent checks copy, contrast, margins, links and originality; mockup agent creates readable product previews; listing agent packages files, compatibility notes, title/tags and buyer FAQ. Human seller approves final product, claims, rights and Etsy AI disclosure before publishing.</x:v>
      </x:c>
      <x:c r="O30" s="68" t="n">
        <x:v>2</x:v>
      </x:c>
      <x:c r="P30" s="68" t="n">
        <x:v>4</x:v>
      </x:c>
      <x:c r="Q30" s="68" t="n">
        <x:v>4</x:v>
      </x:c>
      <x:c r="R30" s="68" t="n">
        <x:v>5</x:v>
      </x:c>
      <x:c r="S30" s="68" t="n">
        <x:v>5</x:v>
      </x:c>
      <x:c r="T30" s="68" t="n">
        <x:v>3</x:v>
      </x:c>
      <x:c r="U30" s="68" t="n">
        <x:v>5</x:v>
      </x:c>
      <x:c r="V30" s="68" t="n">
        <x:f>ROUND((P30*0.25+Q30*0.20+R30*0.20+S30*0.15+T30*0.10+U30*0.10)*20-MAX(O30-1,0)*3,0)</x:f>
        <x:v>84</x:v>
      </x:c>
      <x:c r="W30" s="68" t="str">
        <x:v>US$5-12</x:v>
      </x:c>
      <x:c r="X30" s="68" t="str">
        <x:v>sewing fit journal</x:v>
      </x:c>
      <x:c r="Y30" s="68" t="str">
        <x:v>pattern alteration log</x:v>
      </x:c>
      <x:c r="Z30" s="68" t="str">
        <x:v>https://www.etsy.com/au/seller-handbook/article/1521255894814</x:v>
      </x:c>
      <x:c r="AA30" s="68" t="str">
        <x:v>Official craft trend supports the parent audience; exact journal demand needs validation.</x:v>
      </x:c>
      <x:c r="AB30" s="68" t="str">
        <x:v>Do not guarantee fit; use blank recording templates and have sewing terminology checked by a knowledgeable human.</x:v>
      </x:c>
      <x:c r="AC30" s="68" t="str">
        <x:v>White-space hypothesis</x:v>
      </x:c>
    </x:row>
    <x:row r="31" ht="84" customHeight="1">
      <x:c r="A31" s="68" t="n">
        <x:v>30</x:v>
      </x:c>
      <x:c r="B31" s="68" t="str">
        <x:v>Gardening &amp; nature</x:v>
      </x:c>
      <x:c r="C31" s="68" t="str">
        <x:v>Community garden coordinator toolkit</x:v>
      </x:c>
      <x:c r="D31" s="68" t="str">
        <x:v>Volunteer coordinators running a shared allotment or community garden</x:v>
      </x:c>
      <x:c r="E31" s="68" t="str">
        <x:v>Google Sheets + printable PDF board/forms</x:v>
      </x:c>
      <x:c r="F31" s="68" t="str">
        <x:v>Operations for shared spaces: plot roster, volunteer shifts, tool sign-outs, water rota, compost tasks and harvest-sharing.</x:v>
      </x:c>
      <x:c r="G31" s="68" t="str">
        <x:v>Community Garden Organizer Kit | Plot Roster, Volunteer Shifts &amp; Tool Log</x:v>
      </x:c>
      <x:c r="H31" s="68" t="str">
        <x:v>Templates &gt; Business &amp; Marketing &gt; Templates</x:v>
      </x:c>
      <x:c r="I31" s="68" t="str">
        <x:v>community garden | garden volunteer | allotment planner | plot rental log | tool sign out | garden rota | harvest tracker | garden club kit | volunteer schedule | shared garden | Excel template | Google Sheets | fillable tracker</x:v>
      </x:c>
      <x:c r="J31" s="68" t="str">
        <x:v>Plot roster and waitlist; volunteer shift rota; shared tool sign-out; watering schedule; seasonal work-party planner; harvest-share log; incident/repair list; membership contact sheet; meeting agenda.</x:v>
      </x:c>
      <x:c r="K31" s="68" t="str">
        <x:v>Garden clipboard and plot map with a simple volunteer rota; headline 'LESS CHASING. MORE GROWING.'</x:v>
      </x:c>
      <x:c r="L31" s="68" t="str">
        <x:v>A small organisation gets a ready-made operating system without adopting paid management software.</x:v>
      </x:c>
      <x:c r="M31" s="68" t="str">
        <x:v>This is a narrower coordination use case than plant-care printables and may offer a useful B2B-style bundle; exact competition and willingness-to-pay are unverified.</x:v>
      </x:c>
      <x:c r="N31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1" s="68" t="n">
        <x:v>2</x:v>
      </x:c>
      <x:c r="P31" s="68" t="n">
        <x:v>3</x:v>
      </x:c>
      <x:c r="Q31" s="68" t="n">
        <x:v>4</x:v>
      </x:c>
      <x:c r="R31" s="68" t="n">
        <x:v>5</x:v>
      </x:c>
      <x:c r="S31" s="68" t="n">
        <x:v>5</x:v>
      </x:c>
      <x:c r="T31" s="68" t="n">
        <x:v>4</x:v>
      </x:c>
      <x:c r="U31" s="68" t="n">
        <x:v>5</x:v>
      </x:c>
      <x:c r="V31" s="68" t="n">
        <x:f>ROUND((P31*0.25+Q31*0.20+R31*0.20+S31*0.15+T31*0.10+U31*0.10)*20-MAX(O31-1,0)*3,0)</x:f>
        <x:v>81</x:v>
      </x:c>
      <x:c r="W31" s="68" t="str">
        <x:v>US$10-22</x:v>
      </x:c>
      <x:c r="X31" s="68" t="str">
        <x:v>community garden organizer</x:v>
      </x:c>
      <x:c r="Y31" s="68" t="str">
        <x:v>garden volunteer rota</x:v>
      </x:c>
      <x:c r="Z31" s="68" t="str">
        <x:v>https://www.etsy.com/listing/1322755198/houseplant-care-trackerreferenceguide</x:v>
      </x:c>
      <x:c r="AA31" s="68" t="str">
        <x:v>White-space hypothesis; assess if buyers search this problem on Etsy or prefer free office templates.</x:v>
      </x:c>
      <x:c r="AB31" s="68" t="str">
        <x:v>Keep the template generic and editable; privacy-check member-contact fields and validate units/date formats for target country.</x:v>
      </x:c>
      <x:c r="AC31" s="68" t="str">
        <x:v>White-space hypothesis</x:v>
      </x:c>
    </x:row>
    <x:row r="32" ht="84" customHeight="1">
      <x:c r="A32" s="68" t="n">
        <x:v>31</x:v>
      </x:c>
      <x:c r="B32" s="68" t="str">
        <x:v>Gardening &amp; nature</x:v>
      </x:c>
      <x:c r="C32" s="68" t="str">
        <x:v>Climate-zone balcony food garden planner</x:v>
      </x:c>
      <x:c r="D32" s="68" t="str">
        <x:v>Apartment dwellers growing herbs and vegetables in small spaces</x:v>
      </x:c>
      <x:c r="E32" s="68" t="str">
        <x:v>Printable planner + editable seasonal chart</x:v>
      </x:c>
      <x:c r="F32" s="68" t="str">
        <x:v>Region and climate specific: container sizes, balcony sunlight observations, succession planting log and harvest notes.</x:v>
      </x:c>
      <x:c r="G32" s="68" t="str">
        <x:v>Balcony Vegetable Garden Planner | Container Log, Sunlight &amp; Harvest Tracker</x:v>
      </x:c>
      <x:c r="H32" s="68" t="str">
        <x:v>Paper &amp; Party Supplies &gt; Paper &gt; Templates</x:v>
      </x:c>
      <x:c r="I32" s="68" t="str">
        <x:v>container gardening | vegetable garden log | small space garden | herb garden planner | harvest tracker | garden journal | urban gardening | seed starting log | patio garden | printable PDF | digital download | fillable PDF | instant download</x:v>
      </x:c>
      <x:c r="J32" s="68" t="str">
        <x:v>Balcony light map; container inventory; seed-starting dates; sow/transplant log; watering observation chart; harvest weight/notes; pest observation log; seasonal reset; blank local planting calendar.</x:v>
      </x:c>
      <x:c r="K32" s="68" t="str">
        <x:v>Sunlit balcony scene with labelled containers and a clean planting log preview; cover makes the small-space angle obvious.</x:v>
      </x:c>
      <x:c r="L32" s="68" t="str">
        <x:v>Provides a manageable system for a space-constrained gardener rather than a large-yard garden binder.</x:v>
      </x:c>
      <x:c r="M32" s="68" t="str">
        <x:v>Broad garden planners are competitive, but small-space and locally timed variants make the product more useful; factual planting dates must be reviewed regionally.</x:v>
      </x:c>
      <x:c r="N32" s="68" t="str">
        <x:v>Research agent maps search intent and competitor gaps; content agent creates an original structured page plan; design agent lays out print-ready US Letter/A4 and fillable versions; QA agent checks copy, contrast, margins, links and originality; mockup agent creates readable product previews; listing agent packages files, compatibility notes, title/tags and buyer FAQ. Human seller approves final product, claims, rights and Etsy AI disclosure before publishing.</x:v>
      </x:c>
      <x:c r="O32" s="68" t="n">
        <x:v>3</x:v>
      </x:c>
      <x:c r="P32" s="68" t="n">
        <x:v>4</x:v>
      </x:c>
      <x:c r="Q32" s="68" t="n">
        <x:v>4</x:v>
      </x:c>
      <x:c r="R32" s="68" t="n">
        <x:v>4</x:v>
      </x:c>
      <x:c r="S32" s="68" t="n">
        <x:v>5</x:v>
      </x:c>
      <x:c r="T32" s="68" t="n">
        <x:v>3</x:v>
      </x:c>
      <x:c r="U32" s="68" t="n">
        <x:v>5</x:v>
      </x:c>
      <x:c r="V32" s="68" t="n">
        <x:f>ROUND((P32*0.25+Q32*0.20+R32*0.20+S32*0.15+T32*0.10+U32*0.10)*20-MAX(O32-1,0)*3,0)</x:f>
        <x:v>77</x:v>
      </x:c>
      <x:c r="W32" s="68" t="str">
        <x:v>US$6-14</x:v>
      </x:c>
      <x:c r="X32" s="68" t="str">
        <x:v>balcony garden planner</x:v>
      </x:c>
      <x:c r="Y32" s="68" t="str">
        <x:v>container garden log</x:v>
      </x:c>
      <x:c r="Z32" s="68" t="str">
        <x:v>https://www.etsy.com/listing/1322755198/houseplant-care-trackerreferenceguide</x:v>
      </x:c>
      <x:c r="AA32" s="68" t="str">
        <x:v>Parent gardening interest plausible; region-specific keyword volumes need to be checked.</x:v>
      </x:c>
      <x:c r="AB32" s="68" t="str">
        <x:v>Do not use one universal planting calendar; use separate region-editions and expert-check climate guidance.</x:v>
      </x:c>
      <x:c r="AC32" s="68" t="str">
        <x:v>White-space hypothesis</x:v>
      </x:c>
    </x:row>
    <x:row r="33" ht="84" customHeight="1">
      <x:c r="A33" s="68" t="n">
        <x:v>32</x:v>
      </x:c>
      <x:c r="B33" s="68" t="str">
        <x:v>Gardening &amp; nature</x:v>
      </x:c>
      <x:c r="C33" s="68" t="str">
        <x:v>Houseplant sitter handover cards for collections</x:v>
      </x:c>
      <x:c r="D33" s="68" t="str">
        <x:v>Plant collectors leaving multiple houseplants with a friend or sitter</x:v>
      </x:c>
      <x:c r="E33" s="68" t="str">
        <x:v>Printable care cards + editable spreadsheet</x:v>
      </x:c>
      <x:c r="F33" s="68" t="str">
        <x:v>Focus on handing over care to another person, not just a generic watering tracker.</x:v>
      </x:c>
      <x:c r="G33" s="68" t="str">
        <x:v>Houseplant Sitter Kit | Plant Care Cards, Watering Notes &amp; Collection Log</x:v>
      </x:c>
      <x:c r="H33" s="68" t="str">
        <x:v>Paper &amp; Party Supplies &gt; Paper &gt; Templates</x:v>
      </x:c>
      <x:c r="I33" s="68" t="str">
        <x:v>houseplant sitter | plant care cards | plant watering log | plant collection log | plant care printable | vacation plant care | indoor plant tracker | plant parent gift | houseplant planner | plant labels | Excel template | Google Sheets | fillable tracker</x:v>
      </x:c>
      <x:c r="J33" s="68" t="str">
        <x:v>Per-plant profile; light and watering notes entered by owner; last-watered field; rotation/propagation note; problem observation page; room location map; sitter visit checklist; return-home review.</x:v>
      </x:c>
      <x:c r="K33" s="68" t="str">
        <x:v>Multiple matching plant cards beside a watering can; show how one card is filled out and how to duplicate it.</x:v>
      </x:c>
      <x:c r="L33" s="68" t="str">
        <x:v>Makes plant care easier to delegate and reduces vague verbal instructions for a large collection.</x:v>
      </x:c>
      <x:c r="M33" s="68" t="str">
        <x:v>A generic houseplant care sheet is visible in search; the multi-plant handover system is a clearer use case and could support bundle pricing.</x:v>
      </x:c>
      <x:c r="N33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3" s="68" t="n">
        <x:v>3</x:v>
      </x:c>
      <x:c r="P33" s="68" t="n">
        <x:v>3</x:v>
      </x:c>
      <x:c r="Q33" s="68" t="n">
        <x:v>4</x:v>
      </x:c>
      <x:c r="R33" s="68" t="n">
        <x:v>4</x:v>
      </x:c>
      <x:c r="S33" s="68" t="n">
        <x:v>5</x:v>
      </x:c>
      <x:c r="T33" s="68" t="n">
        <x:v>3</x:v>
      </x:c>
      <x:c r="U33" s="68" t="n">
        <x:v>5</x:v>
      </x:c>
      <x:c r="V33" s="68" t="n">
        <x:f>ROUND((P33*0.25+Q33*0.20+R33*0.20+S33*0.15+T33*0.10+U33*0.10)*20-MAX(O33-1,0)*3,0)</x:f>
        <x:v>72</x:v>
      </x:c>
      <x:c r="W33" s="68" t="str">
        <x:v>US$5-12</x:v>
      </x:c>
      <x:c r="X33" s="68" t="str">
        <x:v>houseplant sitter</x:v>
      </x:c>
      <x:c r="Y33" s="68" t="str">
        <x:v>vacation plant care</x:v>
      </x:c>
      <x:c r="Z33" s="68" t="str">
        <x:v>https://www.etsy.com/listing/1322755198/houseplant-care-trackerreferenceguide</x:v>
      </x:c>
      <x:c r="AA33" s="68" t="str">
        <x:v>Existing care-sheet competition observed; exact handover-product saturation remains uncertain.</x:v>
      </x:c>
      <x:c r="AB33" s="68" t="str">
        <x:v>Avoid giving generic watering prescriptions for all plants; make the card record owner-specific care instructions.</x:v>
      </x:c>
      <x:c r="AC33" s="68" t="str">
        <x:v>White-space hypothesis</x:v>
      </x:c>
    </x:row>
    <x:row r="34" ht="84" customHeight="1">
      <x:c r="A34" s="68" t="n">
        <x:v>33</x:v>
      </x:c>
      <x:c r="B34" s="68" t="str">
        <x:v>Gardening &amp; nature</x:v>
      </x:c>
      <x:c r="C34" s="68" t="str">
        <x:v>Worm-farm and compost troubleshooting journal</x:v>
      </x:c>
      <x:c r="D34" s="68" t="str">
        <x:v>Small-scale composters, worm-farm owners and school/community garden leaders</x:v>
      </x:c>
      <x:c r="E34" s="68" t="str">
        <x:v>Printable log + simple tracking spreadsheet</x:v>
      </x:c>
      <x:c r="F34" s="68" t="str">
        <x:v>A structured observation journal for feed inputs, moisture/odour, harvests and troubleshooting experiments.</x:v>
      </x:c>
      <x:c r="G34" s="68" t="str">
        <x:v>Worm Farm &amp; Compost Log | Feed Tracker, Observations &amp; Harvest Journal</x:v>
      </x:c>
      <x:c r="H34" s="68" t="str">
        <x:v>Paper &amp; Party Supplies &gt; Paper &gt; Templates</x:v>
      </x:c>
      <x:c r="I34" s="68" t="str">
        <x:v>worm farm log | compost journal | vermicomposting | compost tracker | worm farm printable | garden waste log | composting guide | worm bin tracker | soil garden journal | eco living planner | Excel template | Google Sheets | fillable tracker</x:v>
      </x:c>
      <x:c r="J34" s="68" t="str">
        <x:v>Feed/input log; moisture/temperature observation fields; bedding additions; harvest record; smell/pest observations; experiment log; seasonal notes; troubleshooting question prompts; printable quick-reference blank page.</x:v>
      </x:c>
      <x:c r="K34" s="68" t="str">
        <x:v>Natural earthy design with a worm-bin illustration and sample log; emphasize 'OBSERVE • ADJUST • LEARN'.</x:v>
      </x:c>
      <x:c r="L34" s="68" t="str">
        <x:v>Turns a fiddly hobby into a learnable feedback loop and could be useful for classrooms as well as home gardeners.</x:v>
      </x:c>
      <x:c r="M34" s="68" t="str">
        <x:v>Exact competition appears likely narrower than mainstream garden planners, but keyword demand may be small; position as a practical log, not as a scientific cure-all.</x:v>
      </x:c>
      <x:c r="N34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4" s="68" t="n">
        <x:v>1</x:v>
      </x:c>
      <x:c r="P34" s="68" t="n">
        <x:v>2</x:v>
      </x:c>
      <x:c r="Q34" s="68" t="n">
        <x:v>3</x:v>
      </x:c>
      <x:c r="R34" s="68" t="n">
        <x:v>5</x:v>
      </x:c>
      <x:c r="S34" s="68" t="n">
        <x:v>5</x:v>
      </x:c>
      <x:c r="T34" s="68" t="n">
        <x:v>3</x:v>
      </x:c>
      <x:c r="U34" s="68" t="n">
        <x:v>5</x:v>
      </x:c>
      <x:c r="V34" s="68" t="n">
        <x:f>ROUND((P34*0.25+Q34*0.20+R34*0.20+S34*0.15+T34*0.10+U34*0.10)*20-MAX(O34-1,0)*3,0)</x:f>
        <x:v>73</x:v>
      </x:c>
      <x:c r="W34" s="68" t="str">
        <x:v>US$4-10</x:v>
      </x:c>
      <x:c r="X34" s="68" t="str">
        <x:v>worm farm log</x:v>
      </x:c>
      <x:c r="Y34" s="68" t="str">
        <x:v>compost tracker</x:v>
      </x:c>
      <x:c r="Z34" s="68" t="str">
        <x:v>https://www.etsy.com/listing/1322755198/houseplant-care-trackerreferenceguide</x:v>
      </x:c>
      <x:c r="AA34" s="68" t="str">
        <x:v>Higher white-space but less proven demand: test before spending time on a large product.</x:v>
      </x:c>
      <x:c r="AB34" s="68" t="str">
        <x:v>Have composting facts reviewed; do not promise pest elimination or make unsupported environmental-impact claims.</x:v>
      </x:c>
      <x:c r="AC34" s="68" t="str">
        <x:v>White-space hypothesis</x:v>
      </x:c>
    </x:row>
    <x:row r="35" ht="84" customHeight="1">
      <x:c r="A35" s="68" t="n">
        <x:v>34</x:v>
      </x:c>
      <x:c r="B35" s="68" t="str">
        <x:v>Gardening &amp; nature</x:v>
      </x:c>
      <x:c r="C35" s="68" t="str">
        <x:v>Quilter's scrap inventory and project cost workbook</x:v>
      </x:c>
      <x:c r="D35" s="68" t="str">
        <x:v>Quilters and fabric crafters with a growing fabric stash</x:v>
      </x:c>
      <x:c r="E35" s="68" t="str">
        <x:v>Excel/Google Sheets + printable stash labels</x:v>
      </x:c>
      <x:c r="F35" s="68" t="str">
        <x:v>Beyond a quilt journal: track scrap dimensions, colour, fabric location, project allocation and material cost.</x:v>
      </x:c>
      <x:c r="G35" s="68" t="str">
        <x:v>Quilting Fabric Stash Tracker | Scrap Inventory, Project Cost &amp; Quilt Log</x:v>
      </x:c>
      <x:c r="H35" s="68" t="str">
        <x:v>Templates &gt; Planner Templates</x:v>
      </x:c>
      <x:c r="I35" s="68" t="str">
        <x:v>fabric inventory | quilt project log | scrap fabric | quilting planner | fabric labels | sewing inventory | quilt cost tracker | quilt journal | quilting printable | Excel template | Google Sheets | fillable tracker | instant download</x:v>
      </x:c>
      <x:c r="J35" s="68" t="str">
        <x:v>Fabric inventory; scrap-size bins; colour/fibre fields; storage-location list; project allocation; quilt cost estimator; project-status dashboard; finished-quilt archive; printable labels.</x:v>
      </x:c>
      <x:c r="K35" s="68" t="str">
        <x:v>Fabric swatch grid and a spreadsheet dashboard; show actual table columns and one sample quilt card.</x:v>
      </x:c>
      <x:c r="L35" s="68" t="str">
        <x:v>Creates a practical catalog for a material-heavy hobby and helps reduce duplicate purchases or forgotten scraps.</x:v>
      </x:c>
      <x:c r="M35" s="68" t="str">
        <x:v>Quilt trackers already exist at low prices, so generic tracker competition is real; inventory and cost features are the differentiator.</x:v>
      </x:c>
      <x:c r="N35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5" s="68" t="n">
        <x:v>3</x:v>
      </x:c>
      <x:c r="P35" s="68" t="n">
        <x:v>3</x:v>
      </x:c>
      <x:c r="Q35" s="68" t="n">
        <x:v>4</x:v>
      </x:c>
      <x:c r="R35" s="68" t="n">
        <x:v>3</x:v>
      </x:c>
      <x:c r="S35" s="68" t="n">
        <x:v>5</x:v>
      </x:c>
      <x:c r="T35" s="68" t="n">
        <x:v>4</x:v>
      </x:c>
      <x:c r="U35" s="68" t="n">
        <x:v>5</x:v>
      </x:c>
      <x:c r="V35" s="68" t="n">
        <x:f>ROUND((P35*0.25+Q35*0.20+R35*0.20+S35*0.15+T35*0.10+U35*0.10)*20-MAX(O35-1,0)*3,0)</x:f>
        <x:v>70</x:v>
      </x:c>
      <x:c r="W35" s="68" t="str">
        <x:v>US$9-19</x:v>
      </x:c>
      <x:c r="X35" s="68" t="str">
        <x:v>quilting stash tracker</x:v>
      </x:c>
      <x:c r="Y35" s="68" t="str">
        <x:v>fabric inventory sheet</x:v>
      </x:c>
      <x:c r="Z35" s="68" t="str">
        <x:v>https://www.etsy.com/listing/4475671938/quilters-project-tracker-o-printable</x:v>
      </x:c>
      <x:c r="AA35" s="68" t="str">
        <x:v>Direct quilt-planner competition observed; compete on inventory workflow and value, not just aesthetics.</x:v>
      </x:c>
      <x:c r="AB35" s="68" t="str">
        <x:v>Test spreadsheet formulas and sorting; don't imply automatic fabric-measurement detection if it is a manual workbook.</x:v>
      </x:c>
      <x:c r="AC35" s="68" t="str">
        <x:v>White-space hypothesis</x:v>
      </x:c>
    </x:row>
    <x:row r="36" ht="84" customHeight="1">
      <x:c r="A36" s="68" t="n">
        <x:v>35</x:v>
      </x:c>
      <x:c r="B36" s="68" t="str">
        <x:v>Creator &amp; small business</x:v>
      </x:c>
      <x:c r="C36" s="68" t="str">
        <x:v>Craft fair seller stock and restock dashboard</x:v>
      </x:c>
      <x:c r="D36" s="68" t="str">
        <x:v>Makers selling at markets, fairs, pop-ups and seasonal stalls</x:v>
      </x:c>
      <x:c r="E36" s="68" t="str">
        <x:v>Spreadsheet dashboard + printable booth checklist</x:v>
      </x:c>
      <x:c r="F36" s="68" t="str">
        <x:v>Designed for in-person inventory, price labels, restock decisions, setup/packdown and post-market learning.</x:v>
      </x:c>
      <x:c r="G36" s="68" t="str">
        <x:v>Craft Fair Seller Planner | Stock, Pricing, Booth Setup &amp; Restock Tracker</x:v>
      </x:c>
      <x:c r="H36" s="68" t="str">
        <x:v>Templates &gt; Business &amp; Marketing &gt; Templates</x:v>
      </x:c>
      <x:c r="I36" s="68" t="str">
        <x:v>craft fair planner | market vendor kit | maker inventory | restock tracker | vendor sales log | price list template | pop up shop | craft show prep | handmade business | Excel template | Google Sheets | fillable tracker | instant download</x:v>
      </x:c>
      <x:c r="J36" s="68" t="str">
        <x:v>SKU/stock list; starting and ending inventory; price and material cost inputs; event sales log; booth packing checklist; signage/QR checklist; restock threshold; event comparison dashboard; post-market notes.</x:v>
      </x:c>
      <x:c r="K36" s="68" t="str">
        <x:v>Vendor table layout plus readable stock dashboard; highlight 'PACK • SELL • REORDER' and an example event summary.</x:v>
      </x:c>
      <x:c r="L36" s="68" t="str">
        <x:v>Makes event prep repeatable and helps a maker learn what sold without expensive inventory software.</x:v>
      </x:c>
      <x:c r="M36" s="68" t="str">
        <x:v>Generic small-business planners are saturated, but market-day inventory and restock decisions are tightly tied to an identifiable event.</x:v>
      </x:c>
      <x:c r="N36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6" s="68" t="n">
        <x:v>3</x:v>
      </x:c>
      <x:c r="P36" s="68" t="n">
        <x:v>3</x:v>
      </x:c>
      <x:c r="Q36" s="68" t="n">
        <x:v>5</x:v>
      </x:c>
      <x:c r="R36" s="68" t="n">
        <x:v>4</x:v>
      </x:c>
      <x:c r="S36" s="68" t="n">
        <x:v>5</x:v>
      </x:c>
      <x:c r="T36" s="68" t="n">
        <x:v>5</x:v>
      </x:c>
      <x:c r="U36" s="68" t="n">
        <x:v>5</x:v>
      </x:c>
      <x:c r="V36" s="68" t="n">
        <x:f>ROUND((P36*0.25+Q36*0.20+R36*0.20+S36*0.15+T36*0.10+U36*0.10)*20-MAX(O36-1,0)*3,0)</x:f>
        <x:v>80</x:v>
      </x:c>
      <x:c r="W36" s="68" t="str">
        <x:v>US$15-29</x:v>
      </x:c>
      <x:c r="X36" s="68" t="str">
        <x:v>craft fair planner</x:v>
      </x:c>
      <x:c r="Y36" s="68" t="str">
        <x:v>market vendor inventory</x:v>
      </x:c>
      <x:c r="Z36" s="68" t="str">
        <x:v>https://www.etsy.com/listing/4446776433/mobile-detailing-business-starter-forms</x:v>
      </x:c>
      <x:c r="AA36" s="68" t="str">
        <x:v>Adjacent business template evidence; exact craft-fair workbook demand needs validation.</x:v>
      </x:c>
      <x:c r="AB36" s="68" t="str">
        <x:v>Test calculations, units and inventory flows; do not promise profit and keep all cost assumptions editable.</x:v>
      </x:c>
      <x:c r="AC36" s="68" t="str">
        <x:v>White-space hypothesis</x:v>
      </x:c>
    </x:row>
    <x:row r="37" ht="84" customHeight="1">
      <x:c r="A37" s="68" t="n">
        <x:v>36</x:v>
      </x:c>
      <x:c r="B37" s="68" t="str">
        <x:v>Creator &amp; small business</x:v>
      </x:c>
      <x:c r="C37" s="68" t="str">
        <x:v>Private music teacher studio operations kit</x:v>
      </x:c>
      <x:c r="D37" s="68" t="str">
        <x:v>Independent piano, guitar, voice and instrumental teachers</x:v>
      </x:c>
      <x:c r="E37" s="68" t="str">
        <x:v>Spreadsheet + parent/student PDFs + Canva recital pages</x:v>
      </x:c>
      <x:c r="F37" s="68" t="str">
        <x:v>A small studio system: lesson attendance, repertoire, practice notes, studio policies acknowledgement, recital planning and term communication.</x:v>
      </x:c>
      <x:c r="G37" s="68" t="str">
        <x:v>Private Music Teacher Studio Kit | Lesson Tracker, Practice Notes &amp; Recital Planner</x:v>
      </x:c>
      <x:c r="H37" s="68" t="str">
        <x:v>Templates &gt; Business &amp; Marketing &gt; Templates</x:v>
      </x:c>
      <x:c r="I37" s="68" t="str">
        <x:v>piano lesson log | student practice | music studio forms | recital planner | lesson tracker | music teacher pdf | repertoire tracker | private teacher | studio organizer | Canva template | editable template | digital download | instant download</x:v>
      </x:c>
      <x:c r="J37" s="68" t="str">
        <x:v>Student roster; attendance/makeup log; repertoire progression; practice assignment sheet; parent update; recital timeline and programme; recital RSVP; term planning; blank studio info page.</x:v>
      </x:c>
      <x:c r="K37" s="68" t="str">
        <x:v>Elegant music stand and lesson-log sample; offer instrument-neutral versions and show the editable roster/dashboard.</x:v>
      </x:c>
      <x:c r="L37" s="68" t="str">
        <x:v>Saves admin time for a sole teacher and helps communicate progress to families.</x:v>
      </x:c>
      <x:c r="M37" s="68" t="str">
        <x:v>Specific professional audience with recurring paperwork; direct demand unverified but the operational problem is clear and content is easy to localise.</x:v>
      </x:c>
      <x:c r="N37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7" s="68" t="n">
        <x:v>2</x:v>
      </x:c>
      <x:c r="P37" s="68" t="n">
        <x:v>3</x:v>
      </x:c>
      <x:c r="Q37" s="68" t="n">
        <x:v>5</x:v>
      </x:c>
      <x:c r="R37" s="68" t="n">
        <x:v>5</x:v>
      </x:c>
      <x:c r="S37" s="68" t="n">
        <x:v>5</x:v>
      </x:c>
      <x:c r="T37" s="68" t="n">
        <x:v>4</x:v>
      </x:c>
      <x:c r="U37" s="68" t="n">
        <x:v>5</x:v>
      </x:c>
      <x:c r="V37" s="68" t="n">
        <x:f>ROUND((P37*0.25+Q37*0.20+R37*0.20+S37*0.15+T37*0.10+U37*0.10)*20-MAX(O37-1,0)*3,0)</x:f>
        <x:v>85</x:v>
      </x:c>
      <x:c r="W37" s="68" t="str">
        <x:v>US$12-26</x:v>
      </x:c>
      <x:c r="X37" s="68" t="str">
        <x:v>music teacher forms</x:v>
      </x:c>
      <x:c r="Y37" s="68" t="str">
        <x:v>piano lesson tracker</x:v>
      </x:c>
      <x:c r="Z37" s="68" t="str">
        <x:v>https://www.etsy.com/listing/838160150/teacher-digital-planner-teacher-planner</x:v>
      </x:c>
      <x:c r="AA37" s="68" t="str">
        <x:v>Teacher template category is established; private-studio operational combination is a hypothesis.</x:v>
      </x:c>
      <x:c r="AB37" s="68" t="str">
        <x:v>Avoid storing student personal details in screenshots; make policies editable and not a substitute for legal advice.</x:v>
      </x:c>
      <x:c r="AC37" s="68" t="str">
        <x:v>White-space hypothesis</x:v>
      </x:c>
    </x:row>
    <x:row r="38" ht="84" customHeight="1">
      <x:c r="A38" s="68" t="n">
        <x:v>37</x:v>
      </x:c>
      <x:c r="B38" s="68" t="str">
        <x:v>Creator &amp; small business</x:v>
      </x:c>
      <x:c r="C38" s="68" t="str">
        <x:v>Podcast guest onboarding and episode production kit</x:v>
      </x:c>
      <x:c r="D38" s="68" t="str">
        <x:v>Independent podcasters and small creator teams</x:v>
      </x:c>
      <x:c r="E38" s="68" t="str">
        <x:v>Notion/Google Sheets + email templates + PDF checklist</x:v>
      </x:c>
      <x:c r="F38" s="68" t="str">
        <x:v>A repeatable guest-to-publication workflow with clear handoffs, approval, assets and scheduling.</x:v>
      </x:c>
      <x:c r="G38" s="68" t="str">
        <x:v>Podcast Guest Workflow Kit | Booking, Interview Prep &amp; Episode Tracker</x:v>
      </x:c>
      <x:c r="H38" s="68" t="str">
        <x:v>Templates &gt; Business &amp; Marketing &gt; Templates</x:v>
      </x:c>
      <x:c r="I38" s="68" t="str">
        <x:v>podcast guest kit | podcast workflow | guest intake form | episode tracker | podcast planner | interview prep | content calendar | podcast template | creator workflow | Excel template | Google Sheets | fillable tracker | instant download</x:v>
      </x:c>
      <x:c r="J38" s="68" t="str">
        <x:v>Guest intake; bio/pronunciation and links; topic/comfort notes; scheduling tracker; recording setup checklist; asset handoff; show-notes outline; approval/status columns; publish/repurpose checklist.</x:v>
      </x:c>
      <x:c r="K38" s="68" t="str">
        <x:v>Modern creator dashboard on laptop with a sample episode card and 'BOOK → RECORD → PUBLISH'; clear file types shown.</x:v>
      </x:c>
      <x:c r="L38" s="68" t="str">
        <x:v>Turns a repeatable production process into a small system and saves creators from recreating checklists for each episode.</x:v>
      </x:c>
      <x:c r="M38" s="68" t="str">
        <x:v>Operational creator templates may be less commodity-like than social post calendars; competition and buyer willingness-to-pay should be validated.</x:v>
      </x:c>
      <x:c r="N38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8" s="68" t="n">
        <x:v>2</x:v>
      </x:c>
      <x:c r="P38" s="68" t="n">
        <x:v>3</x:v>
      </x:c>
      <x:c r="Q38" s="68" t="n">
        <x:v>4</x:v>
      </x:c>
      <x:c r="R38" s="68" t="n">
        <x:v>5</x:v>
      </x:c>
      <x:c r="S38" s="68" t="n">
        <x:v>5</x:v>
      </x:c>
      <x:c r="T38" s="68" t="n">
        <x:v>5</x:v>
      </x:c>
      <x:c r="U38" s="68" t="n">
        <x:v>5</x:v>
      </x:c>
      <x:c r="V38" s="68" t="n">
        <x:f>ROUND((P38*0.25+Q38*0.20+R38*0.20+S38*0.15+T38*0.10+U38*0.10)*20-MAX(O38-1,0)*3,0)</x:f>
        <x:v>83</x:v>
      </x:c>
      <x:c r="W38" s="68" t="str">
        <x:v>US$12-27</x:v>
      </x:c>
      <x:c r="X38" s="68" t="str">
        <x:v>podcast guest workflow</x:v>
      </x:c>
      <x:c r="Y38" s="68" t="str">
        <x:v>podcast episode tracker</x:v>
      </x:c>
      <x:c r="Z38" s="68" t="str">
        <x:v>https://www.etsy.com/listing/4446776433/mobile-detailing-business-starter-forms</x:v>
      </x:c>
      <x:c r="AA38" s="68" t="str">
        <x:v>Whitespace hypothesis; do a direct listing audit and keyword check.</x:v>
      </x:c>
      <x:c r="AB38" s="68" t="str">
        <x:v>Do not offer legal-release guarantees; explain what is a template and what needs creator/legal review.</x:v>
      </x:c>
      <x:c r="AC38" s="68" t="str">
        <x:v>White-space hypothesis</x:v>
      </x:c>
    </x:row>
    <x:row r="39" ht="84" customHeight="1">
      <x:c r="A39" s="68" t="n">
        <x:v>38</x:v>
      </x:c>
      <x:c r="B39" s="68" t="str">
        <x:v>Creator &amp; small business</x:v>
      </x:c>
      <x:c r="C39" s="68" t="str">
        <x:v>Handyman job scope and photo handover pack</x:v>
      </x:c>
      <x:c r="D39" s="68" t="str">
        <x:v>Solo handymen and small home-service operators</x:v>
      </x:c>
      <x:c r="E39" s="68" t="str">
        <x:v>Fillable PDF + spreadsheet job log</x:v>
      </x:c>
      <x:c r="F39" s="68" t="str">
        <x:v>Document customer-approved scope, before/after photos, materials, variations and completion notes without replacing contracts.</x:v>
      </x:c>
      <x:c r="G39" s="68" t="str">
        <x:v>Handyman Job Tracker | Scope Notes, Photo Log &amp; Customer Sign-Off</x:v>
      </x:c>
      <x:c r="H39" s="68" t="str">
        <x:v>Templates &gt; Business &amp; Marketing &gt; Templates</x:v>
      </x:c>
      <x:c r="I39" s="68" t="str">
        <x:v>handyman job tracker | work order form | job photo log | scope checklist | home service forms | customer sign off | contractor planner | materials tracker | service business | job completion | Excel template | Google Sheets | fillable tracker</x:v>
      </x:c>
      <x:c r="J39" s="68" t="str">
        <x:v>Job intake; scope-of-work summary; materials used; customer-approved changes; before/after photo checklist; completion walkthrough; invoice reference; follow-up reminder; monthly job log.</x:v>
      </x:c>
      <x:c r="K39" s="68" t="str">
        <x:v>Professional work order on a clipboard with a photo checklist thumbnail; headline 'SCOPE CLEAR. JOB RECORDED.'</x:v>
      </x:c>
      <x:c r="L39" s="68" t="str">
        <x:v>Helps reduce forgotten details and gives a small operator a consistent record of what was requested and completed.</x:v>
      </x:c>
      <x:c r="M39" s="68" t="str">
        <x:v>General contractor forms can be competitive, but the photo-and-scope-change workflow is a specific operational hook.</x:v>
      </x:c>
      <x:c r="N39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39" s="68" t="n">
        <x:v>3</x:v>
      </x:c>
      <x:c r="P39" s="68" t="n">
        <x:v>3</x:v>
      </x:c>
      <x:c r="Q39" s="68" t="n">
        <x:v>5</x:v>
      </x:c>
      <x:c r="R39" s="68" t="n">
        <x:v>4</x:v>
      </x:c>
      <x:c r="S39" s="68" t="n">
        <x:v>5</x:v>
      </x:c>
      <x:c r="T39" s="68" t="n">
        <x:v>4</x:v>
      </x:c>
      <x:c r="U39" s="68" t="n">
        <x:v>5</x:v>
      </x:c>
      <x:c r="V39" s="68" t="n">
        <x:f>ROUND((P39*0.25+Q39*0.20+R39*0.20+S39*0.15+T39*0.10+U39*0.10)*20-MAX(O39-1,0)*3,0)</x:f>
        <x:v>78</x:v>
      </x:c>
      <x:c r="W39" s="68" t="str">
        <x:v>US$12-25</x:v>
      </x:c>
      <x:c r="X39" s="68" t="str">
        <x:v>handyman job tracker</x:v>
      </x:c>
      <x:c r="Y39" s="68" t="str">
        <x:v>job photo log</x:v>
      </x:c>
      <x:c r="Z39" s="68" t="str">
        <x:v>https://www.etsy.com/listing/4446776433/mobile-detailing-business-starter-forms</x:v>
      </x:c>
      <x:c r="AA39" s="68" t="str">
        <x:v>Adjacent service-business evidence only; legal wording must remain cautious.</x:v>
      </x:c>
      <x:c r="AB39" s="68" t="str">
        <x:v>Do not present the pack as a contract or legal compliance solution; require local professional review of customer-facing terms.</x:v>
      </x:c>
      <x:c r="AC39" s="68" t="str">
        <x:v>White-space hypothesis</x:v>
      </x:c>
    </x:row>
    <x:row r="40" ht="84" customHeight="1">
      <x:c r="A40" s="68" t="n">
        <x:v>39</x:v>
      </x:c>
      <x:c r="B40" s="68" t="str">
        <x:v>Life transitions &amp; household</x:v>
      </x:c>
      <x:c r="C40" s="68" t="str">
        <x:v>Downsizing-with-parents decision and memory kit</x:v>
      </x:c>
      <x:c r="D40" s="68" t="str">
        <x:v>Adult children helping parents downsize or move to a smaller home</x:v>
      </x:c>
      <x:c r="E40" s="68" t="str">
        <x:v>Printable workbook + inventory spreadsheet</x:v>
      </x:c>
      <x:c r="F40" s="68" t="str">
        <x:v>Combines practical room-by-room decisions with story-preservation prompts, so it is not only a moving checklist.</x:v>
      </x:c>
      <x:c r="G40" s="68" t="str">
        <x:v>Downsizing Planner for Parents | Room Inventory, Keep/Donate &amp; Memory Pages</x:v>
      </x:c>
      <x:c r="H40" s="68" t="str">
        <x:v>Paper &amp; Party Supplies &gt; Paper &gt; Templates</x:v>
      </x:c>
      <x:c r="I40" s="68" t="str">
        <x:v>downsizing planner | senior move planner | declutter workbook | room inventory | moving checklist | family memory book | donate tracker | home transition | keepsake journal | Excel template | Google Sheets | fillable tracker | instant download</x:v>
      </x:c>
      <x:c r="J40" s="68" t="str">
        <x:v>Room inventory; keep/donate/sell decisions; item destination log; family ownership notes; important-document locator; moving-week timeline; memory/interview cards; photo archive checklist; post-move essentials.</x:v>
      </x:c>
      <x:c r="K40" s="68" t="str">
        <x:v>Calm, respectful cover showing labelled boxes and a memory-card sample; headline 'MAKE SPACE. KEEP THE STORIES.'</x:v>
      </x:c>
      <x:c r="L40" s="68" t="str">
        <x:v>Supports an emotional, time-consuming transition with both logistics and meaningful family preservation.</x:v>
      </x:c>
      <x:c r="M40" s="68" t="str">
        <x:v>Moving binders are visible and well-developed, but the intergenerational memory component may differentiate; exact search behaviour and willingness-to-pay need validation.</x:v>
      </x:c>
      <x:c r="N40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0" s="68" t="n">
        <x:v>3</x:v>
      </x:c>
      <x:c r="P40" s="68" t="n">
        <x:v>3</x:v>
      </x:c>
      <x:c r="Q40" s="68" t="n">
        <x:v>4</x:v>
      </x:c>
      <x:c r="R40" s="68" t="n">
        <x:v>4</x:v>
      </x:c>
      <x:c r="S40" s="68" t="n">
        <x:v>5</x:v>
      </x:c>
      <x:c r="T40" s="68" t="n">
        <x:v>4</x:v>
      </x:c>
      <x:c r="U40" s="68" t="n">
        <x:v>4</x:v>
      </x:c>
      <x:c r="V40" s="68" t="n">
        <x:f>ROUND((P40*0.25+Q40*0.20+R40*0.20+S40*0.15+T40*0.10+U40*0.10)*20-MAX(O40-1,0)*3,0)</x:f>
        <x:v>72</x:v>
      </x:c>
      <x:c r="W40" s="68" t="str">
        <x:v>US$9-19</x:v>
      </x:c>
      <x:c r="X40" s="68" t="str">
        <x:v>downsizing planner</x:v>
      </x:c>
      <x:c r="Y40" s="68" t="str">
        <x:v>senior move checklist</x:v>
      </x:c>
      <x:c r="Z40" s="68" t="str">
        <x:v>https://www.etsy.com/listing/4504064218/moving-binder-printable-moving-checklist</x:v>
      </x:c>
      <x:c r="AA40" s="68" t="str">
        <x:v>Adjacent moving and caregiving categories observed; the combined format is a hypothesis.</x:v>
      </x:c>
      <x:c r="AB40" s="68" t="str">
        <x:v>Use sensitive language; avoid legal, tax or estate-planning advice; keep ownership/dispute pages neutral.</x:v>
      </x:c>
      <x:c r="AC40" s="68" t="str">
        <x:v>White-space hypothesis</x:v>
      </x:c>
    </x:row>
    <x:row r="41" ht="84" customHeight="1">
      <x:c r="A41" s="68" t="n">
        <x:v>40</x:v>
      </x:c>
      <x:c r="B41" s="68" t="str">
        <x:v>Home &amp; property niche</x:v>
      </x:c>
      <x:c r="C41" s="68" t="str">
        <x:v>Small-landlord maintenance request and handoff log</x:v>
      </x:c>
      <x:c r="D41" s="68" t="str">
        <x:v>Self-managing landlords with one to five rental properties</x:v>
      </x:c>
      <x:c r="E41" s="68" t="str">
        <x:v>Google Sheets issue log + tenant-facing request form</x:v>
      </x:c>
      <x:c r="F41" s="68" t="str">
        <x:v>Lightweight maintenance intake and vendor handoff record rather than legal lease paperwork.</x:v>
      </x:c>
      <x:c r="G41" s="68" t="str">
        <x:v>Small Landlord Maintenance Tracker | Issue Log, Photos &amp; Vendor Follow-Up</x:v>
      </x:c>
      <x:c r="H41" s="68" t="str">
        <x:v>Templates &gt; Business &amp; Marketing &gt; Templates</x:v>
      </x:c>
      <x:c r="I41" s="68" t="str">
        <x:v>landlord maintenance | rental repair log | landlord checklist | work order tracker | tenant repair log | vendor follow up | rental property | property binder | Excel template | Google Sheets | fillable tracker | instant download | planner printable</x:v>
      </x:c>
      <x:c r="J41" s="68" t="str">
        <x:v>Property list; issue intake fields; photo/document link; urgency chosen by user; vendor assignment; date/status log; tenant update log; repeat issue history; invoice/document locator.</x:v>
      </x:c>
      <x:c r="K41" s="68" t="str">
        <x:v>Simple dashboard with three sample maintenance tickets and a property icon; use neutral language rather than legal documents.</x:v>
      </x:c>
      <x:c r="L41" s="68" t="str">
        <x:v>Provides visibility across recurring requests without a complex property management subscription.</x:v>
      </x:c>
      <x:c r="M41" s="68" t="str">
        <x:v>Property operations are a clear recurring problem, but legal and privacy constraints are material and direct search demand is unverified.</x:v>
      </x:c>
      <x:c r="N41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1" s="68" t="n">
        <x:v>3</x:v>
      </x:c>
      <x:c r="P41" s="68" t="n">
        <x:v>3</x:v>
      </x:c>
      <x:c r="Q41" s="68" t="n">
        <x:v>5</x:v>
      </x:c>
      <x:c r="R41" s="68" t="n">
        <x:v>4</x:v>
      </x:c>
      <x:c r="S41" s="68" t="n">
        <x:v>5</x:v>
      </x:c>
      <x:c r="T41" s="68" t="n">
        <x:v>5</x:v>
      </x:c>
      <x:c r="U41" s="68" t="n">
        <x:v>5</x:v>
      </x:c>
      <x:c r="V41" s="68" t="n">
        <x:f>ROUND((P41*0.25+Q41*0.20+R41*0.20+S41*0.15+T41*0.10+U41*0.10)*20-MAX(O41-1,0)*3,0)</x:f>
        <x:v>80</x:v>
      </x:c>
      <x:c r="W41" s="68" t="str">
        <x:v>US$15-29</x:v>
      </x:c>
      <x:c r="X41" s="68" t="str">
        <x:v>landlord maintenance log</x:v>
      </x:c>
      <x:c r="Y41" s="68" t="str">
        <x:v>rental repair tracker</x:v>
      </x:c>
      <x:c r="Z41" s="68" t="str">
        <x:v>https://www.etsy.com/listing/4566231173/home-maintenance-binder-printable</x:v>
      </x:c>
      <x:c r="AA41" s="68" t="str">
        <x:v>Adjacent property and home-maintenance market evidence; no legal forms should be included.</x:v>
      </x:c>
      <x:c r="AB41" s="68" t="str">
        <x:v>Do not set legal response deadlines or imply compliance; local landlord-tenant rules differ, and personal details need care.</x:v>
      </x:c>
      <x:c r="AC41" s="68" t="str">
        <x:v>White-space hypothesis</x:v>
      </x:c>
    </x:row>
    <x:row r="42" ht="84" customHeight="1">
      <x:c r="A42" s="68" t="n">
        <x:v>41</x:v>
      </x:c>
      <x:c r="B42" s="68" t="str">
        <x:v>Creative communities</x:v>
      </x:c>
      <x:c r="C42" s="68" t="str">
        <x:v>Accessible multi-generational scavenger hunt pack</x:v>
      </x:c>
      <x:c r="D42" s="68" t="str">
        <x:v>Families, reunions, community organisers and mixed-age groups</x:v>
      </x:c>
      <x:c r="E42" s="68" t="str">
        <x:v>Printable game cards + host guide</x:v>
      </x:c>
      <x:c r="F42" s="68" t="str">
        <x:v>Multiple routes and participation levels—walking, seated, photo-only and teamwork options—rather than one physical-demand version.</x:v>
      </x:c>
      <x:c r="G42" s="68" t="str">
        <x:v>Multi-Generational Scavenger Hunt | Family Reunion Game &amp; Photo Cards</x:v>
      </x:c>
      <x:c r="H42" s="68" t="str">
        <x:v>Paper &amp; Party Supplies &gt; Party Supplies &gt; Games &amp; Activities</x:v>
      </x:c>
      <x:c r="I42" s="68" t="str">
        <x:v>reunion games | photo scavenger hunt | family party game | outdoor bingo | indoor scavenger | printable hunt | group game | printable PDF | digital download | fillable PDF | instant download | planner printable | editable PDF</x:v>
      </x:c>
      <x:c r="J42" s="68" t="str">
        <x:v>Indoor/outdoor routes; photo-based and seated alternatives; team cards; adult/child prompt sets; timing options; score sheet; blank custom prompts; host guide; low-prep materials checklist.</x:v>
      </x:c>
      <x:c r="K42" s="68" t="str">
        <x:v>A bright grid of a few readable prompt cards in a family picnic setting; include an icon for seated/low-mobility option.</x:v>
      </x:c>
      <x:c r="L42" s="68" t="str">
        <x:v>Gives hosts an instant activity that can include more people without making ability assumptions.</x:v>
      </x:c>
      <x:c r="M42" s="68" t="str">
        <x:v>Seasonal and group-event kits have strong use-case appeal; accessibility is a meaningful differentiator though keyword demand is unverified.</x:v>
      </x:c>
      <x:c r="N42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42" s="68" t="n">
        <x:v>2</x:v>
      </x:c>
      <x:c r="P42" s="68" t="n">
        <x:v>3</x:v>
      </x:c>
      <x:c r="Q42" s="68" t="n">
        <x:v>4</x:v>
      </x:c>
      <x:c r="R42" s="68" t="n">
        <x:v>5</x:v>
      </x:c>
      <x:c r="S42" s="68" t="n">
        <x:v>5</x:v>
      </x:c>
      <x:c r="T42" s="68" t="n">
        <x:v>3</x:v>
      </x:c>
      <x:c r="U42" s="68" t="n">
        <x:v>4</x:v>
      </x:c>
      <x:c r="V42" s="68" t="n">
        <x:f>ROUND((P42*0.25+Q42*0.20+R42*0.20+S42*0.15+T42*0.10+U42*0.10)*20-MAX(O42-1,0)*3,0)</x:f>
        <x:v>77</x:v>
      </x:c>
      <x:c r="W42" s="68" t="str">
        <x:v>US$5-12</x:v>
      </x:c>
      <x:c r="X42" s="68" t="str">
        <x:v>family scavenger hunt</x:v>
      </x:c>
      <x:c r="Y42" s="68" t="str">
        <x:v>accessible group games</x:v>
      </x:c>
      <x:c r="Z42" s="68" t="str">
        <x:v>https://www.etsy.com/au/seller-handbook/article/1521255894814</x:v>
      </x:c>
      <x:c r="AA42" s="68" t="str">
        <x:v>Creative-party product hypothesis; validate exact keyword volume and test prompts with real families.</x:v>
      </x:c>
      <x:c r="AB42" s="68" t="str">
        <x:v>Use inclusive prompts, avoid unsafe dares and ensure each activity has alternative participation modes.</x:v>
      </x:c>
      <x:c r="AC42" s="68" t="str">
        <x:v>White-space hypothesis</x:v>
      </x:c>
    </x:row>
    <x:row r="43" ht="84" customHeight="1">
      <x:c r="A43" s="68" t="n">
        <x:v>42</x:v>
      </x:c>
      <x:c r="B43" s="68" t="str">
        <x:v>Creative communities</x:v>
      </x:c>
      <x:c r="C43" s="68" t="str">
        <x:v>Miniature-painting project and paint recipe journal</x:v>
      </x:c>
      <x:c r="D43" s="68" t="str">
        <x:v>Tabletop miniature painters and hobby artists</x:v>
      </x:c>
      <x:c r="E43" s="68" t="str">
        <x:v>Printable journal + spreadsheet inventory</x:v>
      </x:c>
      <x:c r="F43" s="68" t="str">
        <x:v>Track paint mixes, miniature stage progress, basing recipes, references and finished project photos.</x:v>
      </x:c>
      <x:c r="G43" s="68" t="str">
        <x:v>Miniature Painting Logbook | Paint Recipes, Project Tracker &amp; Colour Notes</x:v>
      </x:c>
      <x:c r="H43" s="68" t="str">
        <x:v>Paper &amp; Party Supplies &gt; Paper &gt; Templates</x:v>
      </x:c>
      <x:c r="I43" s="68" t="str">
        <x:v>miniature painting | paint recipe log | hobby tracker | paint inventory | colour mixing log | tabletop painting | figure painting | art project log | hobby printable | Excel template | Google Sheets | fillable tracker | instant download</x:v>
      </x:c>
      <x:c r="J43" s="68" t="str">
        <x:v>Miniature/project profile; paint brand and colour inventory; mix ratios; layer sequence; photo reference; basing recipe; start/finish dates; commission status; paint replenishment list.</x:v>
      </x:c>
      <x:c r="K43" s="68" t="str">
        <x:v>Dark studio desk with paint swatches and a clearly legible recipe card; dramatic but uncluttered imagery.</x:v>
      </x:c>
      <x:c r="L43" s="68" t="str">
        <x:v>Captures repeatable recipes and progress for a detail-oriented hobby where notes can save time.</x:v>
      </x:c>
      <x:c r="M43" s="68" t="str">
        <x:v>Specific hobby tools may attract buyers with strong intent; verify exact demand and avoid branded game miniatures in mockups.</x:v>
      </x:c>
      <x:c r="N43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3" s="68" t="n">
        <x:v>2</x:v>
      </x:c>
      <x:c r="P43" s="68" t="n">
        <x:v>3</x:v>
      </x:c>
      <x:c r="Q43" s="68" t="n">
        <x:v>4</x:v>
      </x:c>
      <x:c r="R43" s="68" t="n">
        <x:v>5</x:v>
      </x:c>
      <x:c r="S43" s="68" t="n">
        <x:v>5</x:v>
      </x:c>
      <x:c r="T43" s="68" t="n">
        <x:v>3</x:v>
      </x:c>
      <x:c r="U43" s="68" t="n">
        <x:v>5</x:v>
      </x:c>
      <x:c r="V43" s="68" t="n">
        <x:f>ROUND((P43*0.25+Q43*0.20+R43*0.20+S43*0.15+T43*0.10+U43*0.10)*20-MAX(O43-1,0)*3,0)</x:f>
        <x:v>79</x:v>
      </x:c>
      <x:c r="W43" s="68" t="str">
        <x:v>US$5-13</x:v>
      </x:c>
      <x:c r="X43" s="68" t="str">
        <x:v>miniature painting log</x:v>
      </x:c>
      <x:c r="Y43" s="68" t="str">
        <x:v>paint recipe journal</x:v>
      </x:c>
      <x:c r="Z43" s="68" t="str">
        <x:v>https://www.etsy.com/listing/4475671938/quilters-project-tracker-o-printable</x:v>
      </x:c>
      <x:c r="AA43" s="68" t="str">
        <x:v>Niche hypothesis; broad market size may be smaller but product specificity is strong.</x:v>
      </x:c>
      <x:c r="AB43" s="68" t="str">
        <x:v>Do not use unlicensed game logos, official miniature art or trademarked setting terms; keep examples original.</x:v>
      </x:c>
      <x:c r="AC43" s="68" t="str">
        <x:v>White-space hypothesis</x:v>
      </x:c>
    </x:row>
    <x:row r="44" ht="84" customHeight="1">
      <x:c r="A44" s="68" t="n">
        <x:v>43</x:v>
      </x:c>
      <x:c r="B44" s="68" t="str">
        <x:v>Creator &amp; small business</x:v>
      </x:c>
      <x:c r="C44" s="68" t="str">
        <x:v>Independent creator digital asset register</x:v>
      </x:c>
      <x:c r="D44" s="68" t="str">
        <x:v>Small creators who sell downloadable files, templates, designs or printables</x:v>
      </x:c>
      <x:c r="E44" s="68" t="str">
        <x:v>Google Sheets inventory dashboard</x:v>
      </x:c>
      <x:c r="F44" s="68" t="str">
        <x:v>Help a seller track version, licence, preview images, updates, product families and customer-support notes—not a generic 'Etsy seller planner'.</x:v>
      </x:c>
      <x:c r="G44" s="68" t="str">
        <x:v>Digital Product Inventory Tracker | SKU, Version, Listing &amp; Update Log</x:v>
      </x:c>
      <x:c r="H44" s="68" t="str">
        <x:v>Templates &gt; Business &amp; Marketing &gt; Templates</x:v>
      </x:c>
      <x:c r="I44" s="68" t="str">
        <x:v>Etsy seller planner | listing inventory | digital SKU tracker | product version log | shop dashboard | printable seller | listing checklist | product update log | creator business | Excel template | Google Sheets | fillable tracker | instant download</x:v>
      </x:c>
      <x:c r="J44" s="68" t="str">
        <x:v>SKU and listing register; version/date history; product-family links; source-file locator; license/usage summary field; preview image checklist; update log; customer issue notes; annual refresh calendar.</x:v>
      </x:c>
      <x:c r="K44" s="68" t="str">
        <x:v>Clean dashboard with sample product rows and file icons; title clearly says 'INVENTORY + VERSION CONTROL'.</x:v>
      </x:c>
      <x:c r="L44" s="68" t="str">
        <x:v>Supports a growing shop with a product-operations habit rather than only aesthetic planning pages.</x:v>
      </x:c>
      <x:c r="M44" s="68" t="str">
        <x:v>Generic Etsy-seller planners are crowded; a practical version-control and asset-register angle is narrower and particularly relevant to AI-assisted publishing workflows.</x:v>
      </x:c>
      <x:c r="N44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4" s="68" t="n">
        <x:v>3</x:v>
      </x:c>
      <x:c r="P44" s="68" t="n">
        <x:v>3</x:v>
      </x:c>
      <x:c r="Q44" s="68" t="n">
        <x:v>4</x:v>
      </x:c>
      <x:c r="R44" s="68" t="n">
        <x:v>4</x:v>
      </x:c>
      <x:c r="S44" s="68" t="n">
        <x:v>5</x:v>
      </x:c>
      <x:c r="T44" s="68" t="n">
        <x:v>4</x:v>
      </x:c>
      <x:c r="U44" s="68" t="n">
        <x:v>5</x:v>
      </x:c>
      <x:c r="V44" s="68" t="n">
        <x:f>ROUND((P44*0.25+Q44*0.20+R44*0.20+S44*0.15+T44*0.10+U44*0.10)*20-MAX(O44-1,0)*3,0)</x:f>
        <x:v>74</x:v>
      </x:c>
      <x:c r="W44" s="68" t="str">
        <x:v>US$9-18</x:v>
      </x:c>
      <x:c r="X44" s="68" t="str">
        <x:v>digital product tracker</x:v>
      </x:c>
      <x:c r="Y44" s="68" t="str">
        <x:v>Etsy listing inventory</x:v>
      </x:c>
      <x:c r="Z44" s="68" t="str">
        <x:v>https://www.etsy.com/seller-handbook/article/1404564905677</x:v>
      </x:c>
      <x:c r="AA44" s="68" t="str">
        <x:v>Operational gap hypothesis; avoid competing head-on with large generic seller bundles.</x:v>
      </x:c>
      <x:c r="AB44" s="68" t="str">
        <x:v>Do not frame it as a policy/legal compliance guarantee; seller must verify current platform rules and keep customer details private.</x:v>
      </x:c>
      <x:c r="AC44" s="68" t="str">
        <x:v>White-space hypothesis</x:v>
      </x:c>
    </x:row>
    <x:row r="45" ht="84" customHeight="1">
      <x:c r="A45" s="68" t="n">
        <x:v>44</x:v>
      </x:c>
      <x:c r="B45" s="68" t="str">
        <x:v>Creator &amp; small business</x:v>
      </x:c>
      <x:c r="C45" s="68" t="str">
        <x:v>Etsy listing photography shot-plan workbook</x:v>
      </x:c>
      <x:c r="D45" s="68" t="str">
        <x:v>Digital-product sellers and small makers preparing product images</x:v>
      </x:c>
      <x:c r="E45" s="68" t="str">
        <x:v>Editable workbook + photo storyboard pages</x:v>
      </x:c>
      <x:c r="F45" s="68" t="str">
        <x:v>Focus on shot coverage and clarity: first image, page previews, scale, use cases, file formats and instructions.</x:v>
      </x:c>
      <x:c r="G45" s="68" t="str">
        <x:v>Etsy Listing Photo Planner | Thumbnail Hook, Mockups &amp; Preview Checklist</x:v>
      </x:c>
      <x:c r="H45" s="68" t="str">
        <x:v>Templates &gt; Business &amp; Marketing &gt; Templates</x:v>
      </x:c>
      <x:c r="I45" s="68" t="str">
        <x:v>Etsy listing photos | thumbnail design | product photo plan | Etsy SEO planner | listing conversion | mockup checklist | Canva seller | printable PDF | digital download | fillable PDF | instant download | planner printable | editable PDF</x:v>
      </x:c>
      <x:c r="J45" s="68" t="str">
        <x:v>Hero image concept worksheet; 10-slot photo plan; mobile thumbnail text test; feature/benefit slide; file-format and compatibility slide; scale/use case sample; FAQ slide; seasonal refresh log; A/B observation tracker.</x:v>
      </x:c>
      <x:c r="K45" s="68" t="str">
        <x:v>A single clean mock listing image beside a 10-frame storyboard; show the first-image checklist as a product feature.</x:v>
      </x:c>
      <x:c r="L45" s="68" t="str">
        <x:v>Helps sellers plan a buyer-oriented listing rather than generating attractive but uninformative AI artwork.</x:v>
      </x:c>
      <x:c r="M45" s="68" t="str">
        <x:v>Etsy's official guidance says the first image should clearly show the item and avoid confusing collage layouts; a photo-planning system can operationalise that advice.</x:v>
      </x:c>
      <x:c r="N45" s="68" t="str">
        <x:v>Research agent maps search intent and competitor gaps; content agent creates an original structured page plan; design agent lays out print-ready US Letter/A4 and fillable versions; QA agent checks copy, contrast, margins, links and originality; mockup agent creates readable product previews; listing agent packages files, compatibility notes, title/tags and buyer FAQ. Human seller approves final product, claims, rights and Etsy AI disclosure before publishing.</x:v>
      </x:c>
      <x:c r="O45" s="68" t="n">
        <x:v>3</x:v>
      </x:c>
      <x:c r="P45" s="68" t="n">
        <x:v>4</x:v>
      </x:c>
      <x:c r="Q45" s="68" t="n">
        <x:v>4</x:v>
      </x:c>
      <x:c r="R45" s="68" t="n">
        <x:v>4</x:v>
      </x:c>
      <x:c r="S45" s="68" t="n">
        <x:v>5</x:v>
      </x:c>
      <x:c r="T45" s="68" t="n">
        <x:v>4</x:v>
      </x:c>
      <x:c r="U45" s="68" t="n">
        <x:v>5</x:v>
      </x:c>
      <x:c r="V45" s="68" t="n">
        <x:f>ROUND((P45*0.25+Q45*0.20+R45*0.20+S45*0.15+T45*0.10+U45*0.10)*20-MAX(O45-1,0)*3,0)</x:f>
        <x:v>79</x:v>
      </x:c>
      <x:c r="W45" s="68" t="str">
        <x:v>US$8-17</x:v>
      </x:c>
      <x:c r="X45" s="68" t="str">
        <x:v>Etsy listing photo planner</x:v>
      </x:c>
      <x:c r="Y45" s="68" t="str">
        <x:v>digital product mockup</x:v>
      </x:c>
      <x:c r="Z45" s="68" t="str">
        <x:v>https://www.etsy.com/seller-handbook/article/creating-listings-that-convert/366469719354</x:v>
      </x:c>
      <x:c r="AA45" s="68" t="str">
        <x:v>Evidence-backed seller problem; product competes with seller resources and courses, so make it immediately usable.</x:v>
      </x:c>
      <x:c r="AB45" s="68" t="str">
        <x:v>Make sure examples show actual finished products rather than placeholders; don't promise search rankings or sales.</x:v>
      </x:c>
      <x:c r="AC45" s="68" t="str">
        <x:v>White-space hypothesis</x:v>
      </x:c>
    </x:row>
    <x:row r="46" ht="84" customHeight="1">
      <x:c r="A46" s="68" t="n">
        <x:v>45</x:v>
      </x:c>
      <x:c r="B46" s="68" t="str">
        <x:v>Education &amp; learning</x:v>
      </x:c>
      <x:c r="C46" s="68" t="str">
        <x:v>Private tutor progress and parent update kit</x:v>
      </x:c>
      <x:c r="D46" s="68" t="str">
        <x:v>Independent tutors and enrichment teachers</x:v>
      </x:c>
      <x:c r="E46" s="68" t="str">
        <x:v>Spreadsheet tracker + lesson summary templates</x:v>
      </x:c>
      <x:c r="F46" s="68" t="str">
        <x:v>Track goals, session topics, practice commitments and parent communication without turning it into a generic gradebook.</x:v>
      </x:c>
      <x:c r="G46" s="68" t="str">
        <x:v>Tutor Progress Tracker | Lesson Notes, Goals &amp; Parent Update Templates</x:v>
      </x:c>
      <x:c r="H46" s="68" t="str">
        <x:v>Templates &gt; Business &amp; Marketing &gt; Templates</x:v>
      </x:c>
      <x:c r="I46" s="68" t="str">
        <x:v>tutor forms | student goals | parent update | tutoring business | learning log | session tracker | private tutor | education template | Excel template | Google Sheets | fillable tracker | instant download | planner printable</x:v>
      </x:c>
      <x:c r="J46" s="68" t="str">
        <x:v>Student profile fields; session log; goal/milestone tracker; practice commitments; strengths/questions notes; parent update email templates; attendance/makeup log; term review; next-session plan.</x:v>
      </x:c>
      <x:c r="K46" s="68" t="str">
        <x:v>Professional folder mockup with one anonymised lesson summary and a clear 'PLAN • TRACK • UPDATE' line.</x:v>
      </x:c>
      <x:c r="L46" s="68" t="str">
        <x:v>Saves tutor admin time and helps make progress visible to students and families.</x:v>
      </x:c>
      <x:c r="M46" s="68" t="str">
        <x:v>Teacher tools are an established market, but tutors are a specific buyer with business-administration needs distinct from classroom teaching.</x:v>
      </x:c>
      <x:c r="N46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6" s="68" t="n">
        <x:v>3</x:v>
      </x:c>
      <x:c r="P46" s="68" t="n">
        <x:v>3</x:v>
      </x:c>
      <x:c r="Q46" s="68" t="n">
        <x:v>5</x:v>
      </x:c>
      <x:c r="R46" s="68" t="n">
        <x:v>4</x:v>
      </x:c>
      <x:c r="S46" s="68" t="n">
        <x:v>5</x:v>
      </x:c>
      <x:c r="T46" s="68" t="n">
        <x:v>4</x:v>
      </x:c>
      <x:c r="U46" s="68" t="n">
        <x:v>5</x:v>
      </x:c>
      <x:c r="V46" s="68" t="n">
        <x:f>ROUND((P46*0.25+Q46*0.20+R46*0.20+S46*0.15+T46*0.10+U46*0.10)*20-MAX(O46-1,0)*3,0)</x:f>
        <x:v>78</x:v>
      </x:c>
      <x:c r="W46" s="68" t="str">
        <x:v>US$10-22</x:v>
      </x:c>
      <x:c r="X46" s="68" t="str">
        <x:v>tutor progress tracker</x:v>
      </x:c>
      <x:c r="Y46" s="68" t="str">
        <x:v>lesson notes template</x:v>
      </x:c>
      <x:c r="Z46" s="68" t="str">
        <x:v>https://www.etsy.com/listing/838160150/teacher-digital-planner-teacher-planner</x:v>
      </x:c>
      <x:c r="AA46" s="68" t="str">
        <x:v>Adjacent teacher-planner evidence; tutor-specific buyer demand should be validated.</x:v>
      </x:c>
      <x:c r="AB46" s="68" t="str">
        <x:v>Minimise child data and never show identifiable examples; explain sheet compatibility and leave educational goals user-defined.</x:v>
      </x:c>
      <x:c r="AC46" s="68" t="str">
        <x:v>White-space hypothesis</x:v>
      </x:c>
    </x:row>
    <x:row r="47" ht="84" customHeight="1">
      <x:c r="A47" s="68" t="n">
        <x:v>46</x:v>
      </x:c>
      <x:c r="B47" s="68" t="str">
        <x:v>Hobby &amp; travel</x:v>
      </x:c>
      <x:c r="C47" s="68" t="str">
        <x:v>RV season-start, trip and maintenance readiness kit</x:v>
      </x:c>
      <x:c r="D47" s="68" t="str">
        <x:v>RV, campervan and travel-trailer owners</x:v>
      </x:c>
      <x:c r="E47" s="68" t="str">
        <x:v>Printable PDF + spreadsheet service log</x:v>
      </x:c>
      <x:c r="F47" s="68" t="str">
        <x:v>Tie seasonal checks, trip readiness, storage, supplies and service records into one reusable owner system.</x:v>
      </x:c>
      <x:c r="G47" s="68" t="str">
        <x:v>RV Maintenance &amp; Trip Readiness Planner | Seasonal Checklist and Service Log</x:v>
      </x:c>
      <x:c r="H47" s="68" t="str">
        <x:v>Paper &amp; Party Supplies &gt; Paper &gt; Templates</x:v>
      </x:c>
      <x:c r="I47" s="68" t="str">
        <x:v>RV maintenance log | camper checklist | RV trip planner | trailer maintenance | RV inventory | camping checklist | seasonal RV prep | campervan planner | service record log | RV owner binder | Excel template | Google Sheets | fillable tracker</x:v>
      </x:c>
      <x:c r="J47" s="68" t="str">
        <x:v>Seasonal readiness checklist; trip departure list; systems/equipment log; service records; warranty/document locator; storage/winterisation notes to customise; supply inventory; mileage/date log; issue follow-up.</x:v>
      </x:c>
      <x:c r="K47" s="68" t="str">
        <x:v>RV dashboard/table with a sample service log; clear icons for trip, seasonal prep and maintenance.</x:v>
      </x:c>
      <x:c r="L47" s="68" t="str">
        <x:v>Helps owners organise a complex asset and repeated travel routine with a reusable record.</x:v>
      </x:c>
      <x:c r="M47" s="68" t="str">
        <x:v>A public RV log listing existed with 37 sales but only a small page count; room may exist for a fuller workbook, though market size may be limited.</x:v>
      </x:c>
      <x:c r="N47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7" s="68" t="n">
        <x:v>2</x:v>
      </x:c>
      <x:c r="P47" s="68" t="n">
        <x:v>3</x:v>
      </x:c>
      <x:c r="Q47" s="68" t="n">
        <x:v>4</x:v>
      </x:c>
      <x:c r="R47" s="68" t="n">
        <x:v>5</x:v>
      </x:c>
      <x:c r="S47" s="68" t="n">
        <x:v>5</x:v>
      </x:c>
      <x:c r="T47" s="68" t="n">
        <x:v>4</x:v>
      </x:c>
      <x:c r="U47" s="68" t="n">
        <x:v>5</x:v>
      </x:c>
      <x:c r="V47" s="68" t="n">
        <x:f>ROUND((P47*0.25+Q47*0.20+R47*0.20+S47*0.15+T47*0.10+U47*0.10)*20-MAX(O47-1,0)*3,0)</x:f>
        <x:v>81</x:v>
      </x:c>
      <x:c r="W47" s="68" t="str">
        <x:v>US$8-18</x:v>
      </x:c>
      <x:c r="X47" s="68" t="str">
        <x:v>RV maintenance log</x:v>
      </x:c>
      <x:c r="Y47" s="68" t="str">
        <x:v>camper trip checklist</x:v>
      </x:c>
      <x:c r="Z47" s="68" t="str">
        <x:v>https://www.etsy.com/listing/1250768295/rv-maintenance-log-reminders-journal</x:v>
      </x:c>
      <x:c r="AA47" s="68" t="str">
        <x:v>Niche has visible but modest public evidence; quantify demand before making many variants.</x:v>
      </x:c>
      <x:c r="AB47" s="68" t="str">
        <x:v>Do not provide vehicle-safety or winterisation instructions without qualified review; prompt buyers to follow manufacturer guidance.</x:v>
      </x:c>
      <x:c r="AC47" s="68" t="str">
        <x:v>White-space hypothesis</x:v>
      </x:c>
    </x:row>
    <x:row r="48" ht="84" customHeight="1">
      <x:c r="A48" s="68" t="n">
        <x:v>47</x:v>
      </x:c>
      <x:c r="B48" s="68" t="str">
        <x:v>Creator &amp; small business</x:v>
      </x:c>
      <x:c r="C48" s="68" t="str">
        <x:v>Mobile mechanic customer-ready vehicle report</x:v>
      </x:c>
      <x:c r="D48" s="68" t="str">
        <x:v>Independent mobile mechanics and small auto service operators</x:v>
      </x:c>
      <x:c r="E48" s="68" t="str">
        <x:v>Fillable PDF job sheet + spreadsheet service log</x:v>
      </x:c>
      <x:c r="F48" s="68" t="str">
        <x:v>Organise customer concerns, vehicle details, findings/photos and next-step communication, without acting as a mandated inspection certificate.</x:v>
      </x:c>
      <x:c r="G48" s="68" t="str">
        <x:v>Mobile Mechanic Job Sheet | Vehicle Intake, Findings &amp; Service Follow-Up</x:v>
      </x:c>
      <x:c r="H48" s="68" t="str">
        <x:v>Templates &gt; Business &amp; Marketing &gt; Templates</x:v>
      </x:c>
      <x:c r="I48" s="68" t="str">
        <x:v>vehicle intake | mechanic job sheet | vehicle service log | repair estimate | auto service form | customer concern | mechanic checklist | repair tracker | service business | Excel template | Google Sheets | fillable tracker | instant download</x:v>
      </x:c>
      <x:c r="J48" s="68" t="str">
        <x:v>Vehicle/client intake; concern in customer's words; odometer/date; photo index; work performed; parts/material reference; customer update log; next-service reminder; document and invoice reference.</x:v>
      </x:c>
      <x:c r="K48" s="68" t="str">
        <x:v>Clean automotive service report with a car silhouette and a legible form preview; avoid branding for a specific car manufacturer.</x:v>
      </x:c>
      <x:c r="L48" s="68" t="str">
        <x:v>Gives a mobile operator consistent customer-facing records and faster follow-up.</x:v>
      </x:c>
      <x:c r="M48" s="68" t="str">
        <x:v>Auto-detailing listings show a market for trade-specific templates; mechanic forms are adjacent but require careful review of local industry requirements.</x:v>
      </x:c>
      <x:c r="N48" s="68" t="str">
        <x:v>Research agent extracts buyer language and feature gaps; product architect defines tabs, fields and formulas; spreadsheet builder creates the workbook; QA agent tests formulas with edge cases and validates app compatibility; design agent creates the PDF quick-start and listing mockups; listing agent drafts title/tags/FAQ. Human seller approves final product, claims, rights and Etsy AI disclosure before publishing.</x:v>
      </x:c>
      <x:c r="O48" s="68" t="n">
        <x:v>2</x:v>
      </x:c>
      <x:c r="P48" s="68" t="n">
        <x:v>3</x:v>
      </x:c>
      <x:c r="Q48" s="68" t="n">
        <x:v>5</x:v>
      </x:c>
      <x:c r="R48" s="68" t="n">
        <x:v>4</x:v>
      </x:c>
      <x:c r="S48" s="68" t="n">
        <x:v>5</x:v>
      </x:c>
      <x:c r="T48" s="68" t="n">
        <x:v>5</x:v>
      </x:c>
      <x:c r="U48" s="68" t="n">
        <x:v>5</x:v>
      </x:c>
      <x:c r="V48" s="68" t="n">
        <x:f>ROUND((P48*0.25+Q48*0.20+R48*0.20+S48*0.15+T48*0.10+U48*0.10)*20-MAX(O48-1,0)*3,0)</x:f>
        <x:v>83</x:v>
      </x:c>
      <x:c r="W48" s="68" t="str">
        <x:v>US$15-29</x:v>
      </x:c>
      <x:c r="X48" s="68" t="str">
        <x:v>mobile mechanic form</x:v>
      </x:c>
      <x:c r="Y48" s="68" t="str">
        <x:v>vehicle service log</x:v>
      </x:c>
      <x:c r="Z48" s="68" t="str">
        <x:v>https://www.etsy.com/listing/4446776433/mobile-detailing-business-starter-forms</x:v>
      </x:c>
      <x:c r="AA48" s="68" t="str">
        <x:v>Adjacent automotive business-template evidence; compliance and exact demand need review.</x:v>
      </x:c>
      <x:c r="AB48" s="68" t="str">
        <x:v>Not a statutory roadworthiness form or repair authorization; require a qualified local review and avoid diagnostic advice.</x:v>
      </x:c>
      <x:c r="AC48" s="68" t="str">
        <x:v>White-space hypothesis</x:v>
      </x:c>
    </x:row>
    <x:row r="49" ht="84" customHeight="1">
      <x:c r="A49" s="68" t="n">
        <x:v>48</x:v>
      </x:c>
      <x:c r="B49" s="68" t="str">
        <x:v>Seasonal gifting &amp; family</x:v>
      </x:c>
      <x:c r="C49" s="68" t="str">
        <x:v>Chosen-family yearbook and tradition builder</x:v>
      </x:c>
      <x:c r="D49" s="68" t="str">
        <x:v>Friend groups, roommates and chosen families creating an annual keepsake</x:v>
      </x:c>
      <x:c r="E49" s="68" t="str">
        <x:v>Editable Canva pages + printable interview cards</x:v>
      </x:c>
      <x:c r="F49" s="68" t="str">
        <x:v>Combine personalised friend-gift intent with a repeatable annual record of traditions, stories and group photos.</x:v>
      </x:c>
      <x:c r="G49" s="68" t="str">
        <x:v>Chosen Family Memory Book | Friendsmas Traditions &amp; Photo Prompts</x:v>
      </x:c>
      <x:c r="H49" s="68" t="str">
        <x:v>Art &amp; Collectibles &gt; Prints &gt; Digital Prints</x:v>
      </x:c>
      <x:c r="I49" s="68" t="str">
        <x:v>chosen family gift | friendsmas keepsake | friend group book | friendsgiving kit | photo prompt cards | friendship journal | holiday traditions | group memory book | editable Canva | Canva template | editable template | digital download | instant download</x:v>
      </x:c>
      <x:c r="J49" s="68" t="str">
        <x:v>Annual tradition page; group photo prompts; funny/meaningful story questions; shared recipe page; inside jokes (user entered); year-in-review timeline; message pages; next-year hopes.</x:v>
      </x:c>
      <x:c r="K49" s="68" t="str">
        <x:v>Photo-book cover with a clean collage of empty photo frames and strong 'OUR YEAR, OUR PEOPLE' copy; demonstrate a filled sample, not placeholders.</x:v>
      </x:c>
      <x:c r="L49" s="68" t="str">
        <x:v>Personalisation makes it giftable and emotionally specific to the buyer's group.</x:v>
      </x:c>
      <x:c r="M49" s="68" t="str">
        <x:v>Etsy's report states personalised friend gifts rose 1,400% and Friendsmas sales 37%; that supports the context, not guaranteed sales for this printable.</x:v>
      </x:c>
      <x:c r="N49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49" s="68" t="n">
        <x:v>3</x:v>
      </x:c>
      <x:c r="P49" s="68" t="n">
        <x:v>5</x:v>
      </x:c>
      <x:c r="Q49" s="68" t="n">
        <x:v>4</x:v>
      </x:c>
      <x:c r="R49" s="68" t="n">
        <x:v>4</x:v>
      </x:c>
      <x:c r="S49" s="68" t="n">
        <x:v>5</x:v>
      </x:c>
      <x:c r="T49" s="68" t="n">
        <x:v>3</x:v>
      </x:c>
      <x:c r="U49" s="68" t="n">
        <x:v>2</x:v>
      </x:c>
      <x:c r="V49" s="68" t="n">
        <x:f>ROUND((P49*0.25+Q49*0.20+R49*0.20+S49*0.15+T49*0.10+U49*0.10)*20-MAX(O49-1,0)*3,0)</x:f>
        <x:v>76</x:v>
      </x:c>
      <x:c r="W49" s="68" t="str">
        <x:v>US$7-15</x:v>
      </x:c>
      <x:c r="X49" s="68" t="str">
        <x:v>chosen family memory book</x:v>
      </x:c>
      <x:c r="Y49" s="68" t="str">
        <x:v>friendsmas keepsake</x:v>
      </x:c>
      <x:c r="Z49" s="68" t="str">
        <x:v>https://www.etsy.com/au/seller-handbook/article/1521255894814</x:v>
      </x:c>
      <x:c r="AA49" s="68" t="str">
        <x:v>Trend-backed seasonal concept; product-specific search counts still need validation.</x:v>
      </x:c>
      <x:c r="AB49" s="68" t="str">
        <x:v>Use only original designs and user-supplied photos; list early for seasonal purchases and be explicit about editability.</x:v>
      </x:c>
      <x:c r="AC49" s="68" t="str">
        <x:v>White-space hypothesis</x:v>
      </x:c>
    </x:row>
    <x:row r="50" ht="84" customHeight="1">
      <x:c r="A50" s="68" t="n">
        <x:v>49</x:v>
      </x:c>
      <x:c r="B50" s="68" t="str">
        <x:v>Rental &amp; local service business</x:v>
      </x:c>
      <x:c r="C50" s="68" t="str">
        <x:v>Short-term rental maintenance handoff for cabin systems</x:v>
      </x:c>
      <x:c r="D50" s="68" t="str">
        <x:v>Cabin/rural rental hosts with septic, well, generator, hot tub or outdoor systems</x:v>
      </x:c>
      <x:c r="E50" s="68" t="str">
        <x:v>Editable property log + guest-safe instruction pages</x:v>
      </x:c>
      <x:c r="F50" s="68" t="str">
        <x:v>Host-operated record system for service cadence, vendor contacts and handoff notes; guest-facing instructions are separate and locally reviewed.</x:v>
      </x:c>
      <x:c r="G50" s="68" t="str">
        <x:v>Cabin Rental Maintenance Log | Seasonal Systems, Vendors &amp; Service Records</x:v>
      </x:c>
      <x:c r="H50" s="68" t="str">
        <x:v>Templates &gt; Business &amp; Marketing &gt; Templates</x:v>
      </x:c>
      <x:c r="I50" s="68" t="str">
        <x:v>rental maintenance | hot tub log | vendor tracker | seasonal property | vacation rental | service history | cabin host planner | property binder | printable PDF | digital download | fillable PDF | instant download | planner printable</x:v>
      </x:c>
      <x:c r="J50" s="68" t="str">
        <x:v>Equipment register; vendor contact page; service history; seasonal readiness calendar; issue and follow-up log; supply inventory; guest-safe instruction index; record locator; turnover maintenance checklist.</x:v>
      </x:c>
      <x:c r="K50" s="68" t="str">
        <x:v>Cabin exterior with a technical maintenance dashboard and service tags; make the operator workflow clear, not a generic welcome guide.</x:v>
      </x:c>
      <x:c r="L50" s="68" t="str">
        <x:v>Supports repeat operations for a property with more equipment and seasonal maintenance than a city apartment.</x:v>
      </x:c>
      <x:c r="M50" s="68" t="str">
        <x:v>Generic Airbnb guides are saturated; cabin systems and operator maintenance are a narrower buyer problem, although local safety content must be reviewed.</x:v>
      </x:c>
      <x:c r="N50" s="68" t="str">
        <x:v>Research agent maps search intent and competitor gaps; content agent creates an original structured page plan; design agent lays out print-ready US Letter/A4 and fillable versions; QA agent checks copy, contrast, margins, links and originality; mockup agent creates readable product previews; listing agent packages files, compatibility notes, title/tags and buyer FAQ. Human seller approves final product, claims, rights and Etsy AI disclosure before publishing.</x:v>
      </x:c>
      <x:c r="O50" s="68" t="n">
        <x:v>2</x:v>
      </x:c>
      <x:c r="P50" s="68" t="n">
        <x:v>3</x:v>
      </x:c>
      <x:c r="Q50" s="68" t="n">
        <x:v>5</x:v>
      </x:c>
      <x:c r="R50" s="68" t="n">
        <x:v>5</x:v>
      </x:c>
      <x:c r="S50" s="68" t="n">
        <x:v>5</x:v>
      </x:c>
      <x:c r="T50" s="68" t="n">
        <x:v>5</x:v>
      </x:c>
      <x:c r="U50" s="68" t="n">
        <x:v>5</x:v>
      </x:c>
      <x:c r="V50" s="68" t="n">
        <x:f>ROUND((P50*0.25+Q50*0.20+R50*0.20+S50*0.15+T50*0.10+U50*0.10)*20-MAX(O50-1,0)*3,0)</x:f>
        <x:v>87</x:v>
      </x:c>
      <x:c r="W50" s="68" t="str">
        <x:v>US$15-30</x:v>
      </x:c>
      <x:c r="X50" s="68" t="str">
        <x:v>cabin maintenance log</x:v>
      </x:c>
      <x:c r="Y50" s="68" t="str">
        <x:v>vacation rental maintenance</x:v>
      </x:c>
      <x:c r="Z50" s="68" t="str">
        <x:v>https://www.etsy.com/listing/4510590805/welcome-book-template-editable</x:v>
      </x:c>
      <x:c r="AA50" s="68" t="str">
        <x:v>Micro-niche hypothesis; test by searching exact system terms and surveying hosts.</x:v>
      </x:c>
      <x:c r="AB50" s="68" t="str">
        <x:v>No technical instructions for gas/electrical/water systems; host must use manufacturer and qualified vendor guidance.</x:v>
      </x:c>
      <x:c r="AC50" s="68" t="str">
        <x:v>White-space hypothesis</x:v>
      </x:c>
    </x:row>
    <x:row r="51" ht="84" customHeight="1">
      <x:c r="A51" s="68" t="n">
        <x:v>50</x:v>
      </x:c>
      <x:c r="B51" s="68" t="str">
        <x:v>Creative communities</x:v>
      </x:c>
      <x:c r="C51" s="68" t="str">
        <x:v>Family stargazing night field kit</x:v>
      </x:c>
      <x:c r="D51" s="68" t="str">
        <x:v>Families, homeschool groups and community educators running casual astronomy nights</x:v>
      </x:c>
      <x:c r="E51" s="68" t="str">
        <x:v>Printable field cards + observation journal</x:v>
      </x:c>
      <x:c r="F51" s="68" t="str">
        <x:v>A date-neutral activity kit for observing the Moon/sky, recording weather and asking questions rather than a static calendar that goes stale.</x:v>
      </x:c>
      <x:c r="G51" s="68" t="str">
        <x:v>Family Stargazing Kit | Night-Sky Journal, Observation Cards &amp; Checklist</x:v>
      </x:c>
      <x:c r="H51" s="68" t="str">
        <x:v>Paper &amp; Party Supplies &gt; Paper &gt; Templates</x:v>
      </x:c>
      <x:c r="I51" s="68" t="str">
        <x:v>stargazing activity | astronomy for kids | night sky journal | homeschool science | moon observation | family science night | telescope checklist | star party kit | skywatching log | science printable | printable PDF | digital download | fillable PDF</x:v>
      </x:c>
      <x:c r="J51" s="68" t="str">
        <x:v>Pre-night checklist; sky condition log; naked-eye observation page; Moon shape tracker; question cards; drawing frame; telescope-use notes blank; group activity plan; follow-up research page.</x:v>
      </x:c>
      <x:c r="K51" s="68" t="str">
        <x:v>Deep navy starfield with one legible observation card; show actual printable, not a generic AI space image alone.</x:v>
      </x:c>
      <x:c r="L51" s="68" t="str">
        <x:v>Turns a casual outing into a repeatable learning activity and avoids relying on fixed event dates.</x:v>
      </x:c>
      <x:c r="M51" s="68" t="str">
        <x:v>Education/party audience crossover with strong visual appeal; direct Etsy demand for this exact bundle is unverified.</x:v>
      </x:c>
      <x:c r="N51" s="68" t="str">
        <x:v>Research agent maps audience, group size and use setting; story/activity agent drafts original content; facilitator agent converts it into timed instructions and options; human playtest checks clarity and fun; layout agent creates print-ready cards and a preview; listing agent packages the files and writes SEO copy. Human seller approves final product, claims, rights and Etsy AI disclosure before publishing.</x:v>
      </x:c>
      <x:c r="O51" s="68" t="n">
        <x:v>2</x:v>
      </x:c>
      <x:c r="P51" s="68" t="n">
        <x:v>3</x:v>
      </x:c>
      <x:c r="Q51" s="68" t="n">
        <x:v>4</x:v>
      </x:c>
      <x:c r="R51" s="68" t="n">
        <x:v>5</x:v>
      </x:c>
      <x:c r="S51" s="68" t="n">
        <x:v>5</x:v>
      </x:c>
      <x:c r="T51" s="68" t="n">
        <x:v>3</x:v>
      </x:c>
      <x:c r="U51" s="68" t="n">
        <x:v>4</x:v>
      </x:c>
      <x:c r="V51" s="68" t="n">
        <x:f>ROUND((P51*0.25+Q51*0.20+R51*0.20+S51*0.15+T51*0.10+U51*0.10)*20-MAX(O51-1,0)*3,0)</x:f>
        <x:v>77</x:v>
      </x:c>
      <x:c r="W51" s="68" t="str">
        <x:v>US$5-12</x:v>
      </x:c>
      <x:c r="X51" s="68" t="str">
        <x:v>family stargazing kit</x:v>
      </x:c>
      <x:c r="Y51" s="68" t="str">
        <x:v>night sky journal</x:v>
      </x:c>
      <x:c r="Z51" s="68" t="str">
        <x:v>https://www.etsy.com/listing/1582785930/field-trip-report-printable-homeschool</x:v>
      </x:c>
      <x:c r="AA51" s="68" t="str">
        <x:v>White-space hypothesis; seasonality and parent interest require validation.</x:v>
      </x:c>
      <x:c r="AB51" s="68" t="str">
        <x:v>Do not include inaccurate sky-event dates; keep the product evergreen and direct buyers to current astronomy sources for live events.</x:v>
      </x:c>
      <x:c r="AC51" s="68" t="str">
        <x:v>White-space hypothesis</x:v>
      </x:c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conditionalFormatting sqref="O2:U51">
    <x:cfRule type="colorScale" priority="1">
      <x:colorScale>
        <x:cfvo type="min"/>
        <x:cfvo type="percentile" val="50"/>
        <x:cfvo type="max"/>
        <x:color rgb="FFFDE2E2"/>
        <x:color rgb="FFFFF2CC"/>
        <x:color rgb="FFD9EAD3"/>
      </x:colorScale>
    </x:cfRule>
  </x:conditionalFormatting>
  <x:conditionalFormatting sqref="V2:V51">
    <x:cfRule type="dataBar" priority="2">
      <x:dataBar>
        <x:cfvo type="min"/>
        <x:cfvo type="max"/>
        <x:color rgb="FF2D7D89"/>
      </x:dataBar>
      <x:extLst>
        <x:ext xmlns:x14="http://schemas.microsoft.com/office/spreadsheetml/2009/9/main" uri="{B025F937-C7B1-47D3-B67F-A62EFF666E3E}">
          <x14:id>{BBE2FFF6-7940-9D2A-BFC9-56A6C480C8AC}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901b23fbf44e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BE2FFF6-7940-9D2A-BFC9-56A6C480C8AC}">
            <x14:dataBar gradient="1">
              <x14:cfvo type="min"/>
              <x14:cfvo type="max"/>
              <x14:fillColor rgb="FF2D7D89"/>
            </x14:dataBar>
          </x14:cfRule>
          <xm:sqref>V2:V51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44" hidden="0" customWidth="1"/>
    <x:col min="4" max="4" width="38" hidden="0" customWidth="1"/>
    <x:col min="5" max="5" width="54" hidden="0" customWidth="1"/>
    <x:col min="6" max="6" width="52" hidden="0" customWidth="1"/>
  </x:cols>
  <x:sheetData>
    <x:row r="1">
      <x:c r="A1" s="100" t="str">
        <x:v>Niche / category</x:v>
      </x:c>
      <x:c r="B1" s="100" t="str">
        <x:v>Observed listing or signal</x:v>
      </x:c>
      <x:c r="C1" s="100" t="str">
        <x:v>Displayed facts at snapshot</x:v>
      </x:c>
      <x:c r="D1" s="100" t="str">
        <x:v>Timing / context</x:v>
      </x:c>
      <x:c r="E1" s="100" t="str">
        <x:v>Research interpretation</x:v>
      </x:c>
      <x:c r="F1" s="100" t="str">
        <x:v>Source URL</x:v>
      </x:c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</x:row>
    <x:row r="2" ht="60" customHeight="1">
      <x:c r="A2" s="68" t="str">
        <x:v>Caregiving</x:v>
      </x:c>
      <x:c r="B2" s="68" t="str">
        <x:v>Caregiver Binder Printable for Aging Parents</x:v>
      </x:c>
      <x:c r="C2" s="68" t="str">
        <x:v>US$6.49 sale; 31 pages</x:v>
      </x:c>
      <x:c r="D2" s="68" t="str">
        <x:v>Listed ~3 weeks before snapshot; 3 PDFs noted</x:v>
      </x:c>
      <x:c r="E2" s="68" t="str">
        <x:v>Shows clear practical category and recent new entrants; not proof of sales volume.</x:v>
      </x:c>
      <x:c r="F2" s="68" t="str">
        <x:v>https://www.etsy.com/listing/4580374035/caregiver-binder-printable-family</x:v>
      </x:c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</x:row>
    <x:row r="3" ht="60" customHeight="1">
      <x:c r="A3" s="68" t="str">
        <x:v>Caregiving</x:v>
      </x:c>
      <x:c r="B3" s="68" t="str">
        <x:v>Caregiver Binder / Aging Parent Organizer</x:v>
      </x:c>
      <x:c r="C3" s="68" t="str">
        <x:v>CA$25.29; 45 pages; 4.8★ (6 reviews shown)</x:v>
      </x:c>
      <x:c r="D3" s="68" t="str">
        <x:v>Recent listing in public search</x:v>
      </x:c>
      <x:c r="E3" s="68" t="str">
        <x:v>Price range varies by depth and market; human reviewed content matters.</x:v>
      </x:c>
      <x:c r="F3" s="68" t="str">
        <x:v>https://www.etsy.com/listing/4582504766/caregiver-binder-aging-parent-planner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  <x:c r="AC3" s="65"/>
    </x:row>
    <x:row r="4" ht="60" customHeight="1">
      <x:c r="A4" s="68" t="str">
        <x:v>Home organization</x:v>
      </x:c>
      <x:c r="B4" s="68" t="str">
        <x:v>Printable Home Maintenance Binder</x:v>
      </x:c>
      <x:c r="C4" s="68" t="str">
        <x:v>US$5.00; 30 printables described</x:v>
      </x:c>
      <x:c r="D4" s="68" t="str">
        <x:v>Public listing observed last week</x:v>
      </x:c>
      <x:c r="E4" s="68" t="str">
        <x:v>Commodity pricing is visible; differentiate by system-specific workflows or digital convenience.</x:v>
      </x:c>
      <x:c r="F4" s="68" t="str">
        <x:v>https://www.etsy.com/listing/935530423/printable-home-maintenance-binder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  <x:c r="AA4" s="65"/>
      <x:c r="AB4" s="65"/>
      <x:c r="AC4" s="65"/>
    </x:row>
    <x:row r="5" ht="60" customHeight="1">
      <x:c r="A5" s="68" t="str">
        <x:v>Home organization</x:v>
      </x:c>
      <x:c r="B5" s="68" t="str">
        <x:v>Home Maintenance Binder with repair/warranty logs</x:v>
      </x:c>
      <x:c r="C5" s="68" t="str">
        <x:v>US$9.09; 24 pages; A4 and US Letter</x:v>
      </x:c>
      <x:c r="D5" s="68" t="str">
        <x:v>Recent listing in public search</x:v>
      </x:c>
      <x:c r="E5" s="68" t="str">
        <x:v>Multiple similar binders indicate broad-term competition; do not call the broad niche low competition.</x:v>
      </x:c>
      <x:c r="F5" s="68" t="str">
        <x:v>https://www.etsy.com/listing/4566231173/home-maintenance-binder-printable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  <x:c r="AC5" s="65"/>
    </x:row>
    <x:row r="6" ht="60" customHeight="1">
      <x:c r="A6" s="68" t="str">
        <x:v>Short-term rental</x:v>
      </x:c>
      <x:c r="B6" s="68" t="str">
        <x:v>Modern Airbnb Welcome Book Template</x:v>
      </x:c>
      <x:c r="C6" s="68" t="str">
        <x:v>US$3.99 sale; shop shows 4.8★ (652 reviews)</x:v>
      </x:c>
      <x:c r="D6" s="68" t="str">
        <x:v>Public listing observed last week</x:v>
      </x:c>
      <x:c r="E6" s="68" t="str">
        <x:v>Strong visible competition and social proof; a niche host type/operational workflow is needed.</x:v>
      </x:c>
      <x:c r="F6" s="68" t="str">
        <x:v>https://www.etsy.com/listing/923342294/modern-airbnb-welcome-book-template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5"/>
      <x:c r="AC6" s="65"/>
    </x:row>
    <x:row r="7" ht="60" customHeight="1">
      <x:c r="A7" s="68" t="str">
        <x:v>Short-term rental</x:v>
      </x:c>
      <x:c r="B7" s="68" t="str">
        <x:v>Interactive Welcome Book Template</x:v>
      </x:c>
      <x:c r="C7" s="68" t="str">
        <x:v>US$14.99; clickable table of contents and links</x:v>
      </x:c>
      <x:c r="D7" s="68" t="str">
        <x:v>Public listing observed last week</x:v>
      </x:c>
      <x:c r="E7" s="68" t="str">
        <x:v>More functional and premium versions exist; mobile-first, interactive is not new by itself.</x:v>
      </x:c>
      <x:c r="F7" s="68" t="str">
        <x:v>https://www.etsy.com/listing/4510590805/welcome-book-template-editable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  <x:c r="AC7" s="65"/>
    </x:row>
    <x:row r="8" ht="60" customHeight="1">
      <x:c r="A8" s="68" t="str">
        <x:v>Neurodivergent planning</x:v>
      </x:c>
      <x:c r="B8" s="68" t="str">
        <x:v>ADHD Cleaning Planner</x:v>
      </x:c>
      <x:c r="C8" s="68" t="str">
        <x:v>NZ$14.49 sale; 127 pages</x:v>
      </x:c>
      <x:c r="D8" s="68" t="str">
        <x:v>Recent listing in public search</x:v>
      </x:c>
      <x:c r="E8" s="68" t="str">
        <x:v>Specific problem-solving copy sells the outcome; ADHD cleaning planners are not an empty niche.</x:v>
      </x:c>
      <x:c r="F8" s="68" t="str">
        <x:v>https://www.etsy.com/listing/4583425192/adhd-cleaning-planner-printable-home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5"/>
      <x:c r="AC8" s="65"/>
    </x:row>
    <x:row r="9" ht="60" customHeight="1">
      <x:c r="A9" s="68" t="str">
        <x:v>Pet care</x:v>
      </x:c>
      <x:c r="B9" s="68" t="str">
        <x:v>Pet Sitter Instructions / Cat Sitter Instructions</x:v>
      </x:c>
      <x:c r="C9" s="68" t="str">
        <x:v>UK£1.99; 4.9★ (173 reviews shown on adjacent listing)</x:v>
      </x:c>
      <x:c r="D9" s="68" t="str">
        <x:v>Public listing observed today</x:v>
      </x:c>
      <x:c r="E9" s="68" t="str">
        <x:v>Generic sitter pages are competitive and price-sensitive; build a clear specialist reason to buy.</x:v>
      </x:c>
      <x:c r="F9" s="68" t="str">
        <x:v>https://www.etsy.com/listing/1272479831/pet-sitter-notes-printable-pdf-printable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  <x:c r="AC9" s="65"/>
    </x:row>
    <x:row r="10" ht="60" customHeight="1">
      <x:c r="A10" s="68" t="str">
        <x:v>Pet care</x:v>
      </x:c>
      <x:c r="B10" s="68" t="str">
        <x:v>Senior Dog Care Binder</x:v>
      </x:c>
      <x:c r="C10" s="68" t="str">
        <x:v>US$8.99; no reviews/sales shown on one new listing</x:v>
      </x:c>
      <x:c r="D10" s="68" t="str">
        <x:v>Listed May 2026 on public page</x:v>
      </x:c>
      <x:c r="E10" s="68" t="str">
        <x:v>A very specific subcategory has new entrants; lack of public sales is not proof of demand or no competition.</x:v>
      </x:c>
      <x:c r="F10" s="68" t="str">
        <x:v>https://www.etsy.com/listing/4514191505/senior-dog-care-binder-health-mobility</x:v>
      </x:c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</x:row>
    <x:row r="11" ht="60" customHeight="1">
      <x:c r="A11" s="68" t="str">
        <x:v>Teacher tools</x:v>
      </x:c>
      <x:c r="B11" s="68" t="str">
        <x:v>Digital Teacher Planner 2026–2027</x:v>
      </x:c>
      <x:c r="C11" s="68" t="str">
        <x:v>US$14.99; 3 PDFs; 5★ shown</x:v>
      </x:c>
      <x:c r="D11" s="68" t="str">
        <x:v>Public listing observed last month</x:v>
      </x:c>
      <x:c r="E11" s="68" t="str">
        <x:v>Teacher planners are mature; choose a sharply defined workflow not a broad planner.</x:v>
      </x:c>
      <x:c r="F11" s="68" t="str">
        <x:v>https://www.etsy.com/listing/838160150/teacher-digital-planner-teacher-planner</x:v>
      </x:c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  <x:c r="AC11" s="65"/>
    </x:row>
    <x:row r="12" ht="60" customHeight="1">
      <x:c r="A12" s="68" t="str">
        <x:v>Reading communities</x:v>
      </x:c>
      <x:c r="B12" s="68" t="str">
        <x:v>The People We Keep Book Club Kit</x:v>
      </x:c>
      <x:c r="C12" s="68" t="str">
        <x:v>US$3.95; 4.7★ (387 reviews shown)</x:v>
      </x:c>
      <x:c r="D12" s="68" t="str">
        <x:v>Public listing observed a few months ago</x:v>
      </x:c>
      <x:c r="E12" s="68" t="str">
        <x:v>Book club printables have visible review history, but book-specific kits can create IP/update issues.</x:v>
      </x:c>
      <x:c r="F12" s="68" t="str">
        <x:v>https://www.etsy.com/listing/1700154185/the-people-we-keep-book-club-kit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5"/>
      <x:c r="AC12" s="65"/>
    </x:row>
    <x:row r="13" ht="60" customHeight="1">
      <x:c r="A13" s="68" t="str">
        <x:v>Moving</x:v>
      </x:c>
      <x:c r="B13" s="68" t="str">
        <x:v>Moving Binder Printable</x:v>
      </x:c>
      <x:c r="C13" s="68" t="str">
        <x:v>US$14; 50 pages</x:v>
      </x:c>
      <x:c r="D13" s="68" t="str">
        <x:v>Recent listing; sale price displayed through 20 Oct</x:v>
      </x:c>
      <x:c r="E13" s="68" t="str">
        <x:v>Substantial moving bundles exist; differentiate by audience or execution aid rather than adding pages.</x:v>
      </x:c>
      <x:c r="F13" s="68" t="str">
        <x:v>https://www.etsy.com/listing/4504064218/moving-binder-printable-moving-checklist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5"/>
      <x:c r="AC13" s="65"/>
    </x:row>
    <x:row r="14" ht="60" customHeight="1">
      <x:c r="A14" s="68" t="str">
        <x:v>Houseplants</x:v>
      </x:c>
      <x:c r="B14" s="68" t="str">
        <x:v>Houseplant Care Tracker / Reference Guide</x:v>
      </x:c>
      <x:c r="C14" s="68" t="str">
        <x:v>1 PDF; US Letter</x:v>
      </x:c>
      <x:c r="D14" s="68" t="str">
        <x:v>Public listing observed 7 months ago</x:v>
      </x:c>
      <x:c r="E14" s="68" t="str">
        <x:v>Basic plant-care sheets exist; delegation/handover is a specific use case to test.</x:v>
      </x:c>
      <x:c r="F14" s="68" t="str">
        <x:v>https://www.etsy.com/listing/1322755198/houseplant-care-trackerreferenceguide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5"/>
      <x:c r="AC14" s="65"/>
    </x:row>
    <x:row r="15" ht="60" customHeight="1">
      <x:c r="A15" s="68" t="str">
        <x:v>RV / travel</x:v>
      </x:c>
      <x:c r="B15" s="68" t="str">
        <x:v>RV Maintenance Log &amp; Reminders Journal</x:v>
      </x:c>
      <x:c r="C15" s="68" t="str">
        <x:v>CA$5.99; seller page showed 37 sales</x:v>
      </x:c>
      <x:c r="D15" s="68" t="str">
        <x:v>Listed Jun 2026; one favourite shown</x:v>
      </x:c>
      <x:c r="E15" s="68" t="str">
        <x:v>Niche assets can sell, but visible sales are modest; test search demand before investing in a large workbook.</x:v>
      </x:c>
      <x:c r="F15" s="68" t="str">
        <x:v>https://www.etsy.com/listing/1250768295/rv-maintenance-log-reminders-journal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5"/>
      <x:c r="AC15" s="65"/>
    </x:row>
    <x:row r="16" ht="60" customHeight="1">
      <x:c r="A16" s="68" t="str">
        <x:v>Homeschool</x:v>
      </x:c>
      <x:c r="B16" s="68" t="str">
        <x:v>Field Trip Report Printable</x:v>
      </x:c>
      <x:c r="C16" s="68" t="str">
        <x:v>5★ (58 reviews shown)</x:v>
      </x:c>
      <x:c r="D16" s="68" t="str">
        <x:v>Public listing observed 3 months ago</x:v>
      </x:c>
      <x:c r="E16" s="68" t="str">
        <x:v>Evidence of an established homeschool micro-product; portfolio/nature angle can differentiate.</x:v>
      </x:c>
      <x:c r="F16" s="68" t="str">
        <x:v>https://www.etsy.com/listing/1582785930/field-trip-report-printable-homeschool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</x:row>
    <x:row r="17" ht="60" customHeight="1">
      <x:c r="A17" s="68" t="str">
        <x:v>Wedding</x:v>
      </x:c>
      <x:c r="B17" s="68" t="str">
        <x:v>Wedding Weekend Itinerary Template</x:v>
      </x:c>
      <x:c r="C17" s="68" t="str">
        <x:v>5★ (39 reviews shown)</x:v>
      </x:c>
      <x:c r="D17" s="68" t="str">
        <x:v>Public listing observed 5 months ago</x:v>
      </x:c>
      <x:c r="E17" s="68" t="str">
        <x:v>Wedding scheduling is a real category; micro-wedding, accessibility and multi-event guest logistics can segment it.</x:v>
      </x:c>
      <x:c r="F17" s="68" t="str">
        <x:v>https://www.etsy.com/listing/1490832666/wedding-weekend-planner-itinerary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5"/>
      <x:c r="AC17" s="65"/>
    </x:row>
    <x:row r="18" ht="60" customHeight="1">
      <x:c r="A18" s="68" t="str">
        <x:v>Automotive services</x:v>
      </x:c>
      <x:c r="B18" s="68" t="str">
        <x:v>Mobile Detailing Business Starter Forms</x:v>
      </x:c>
      <x:c r="C18" s="68" t="str">
        <x:v>AU$9.87; client intake, quote, invoice and policy fields</x:v>
      </x:c>
      <x:c r="D18" s="68" t="str">
        <x:v>Recent listing; shop public page</x:v>
      </x:c>
      <x:c r="E18" s="68" t="str">
        <x:v>Strong occupational intent but multiple sellers serve this exact trade; formula-tested dashboards can justify a premium.</x:v>
      </x:c>
      <x:c r="F18" s="68" t="str">
        <x:v>https://www.etsy.com/listing/4446776433/mobile-detailing-business-starter-forms</x:v>
      </x:c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5"/>
      <x:c r="AC18" s="65"/>
    </x:row>
    <x:row r="19" ht="60" customHeight="1">
      <x:c r="A19" s="68" t="str">
        <x:v>Automotive services</x:v>
      </x:c>
      <x:c r="B19" s="68" t="str">
        <x:v>Mobile Detailing 30-page forms bundle</x:v>
      </x:c>
      <x:c r="C19" s="68" t="str">
        <x:v>AU$36.63; printable/fillable PDF</x:v>
      </x:c>
      <x:c r="D19" s="68" t="str">
        <x:v>Recent listing in public search</x:v>
      </x:c>
      <x:c r="E19" s="68" t="str">
        <x:v>A higher-value bundle is already offered; distinguish by workflow, calculation accuracy, documentation and support.</x:v>
      </x:c>
      <x:c r="F19" s="68" t="str">
        <x:v>https://www.etsy.com/listing/4556062624/mobile-detailing-business-forms-bundle</x:v>
      </x:c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5"/>
      <x:c r="AC19" s="65"/>
    </x:row>
    <x:row r="20" ht="60" customHeight="1">
      <x:c r="A20" s="68" t="str">
        <x:v>Home inventory</x:v>
      </x:c>
      <x:c r="B20" s="68" t="str">
        <x:v>Home Inventory Bundle / Insurance Policy Tracker</x:v>
      </x:c>
      <x:c r="C20" s="68" t="str">
        <x:v>Price not reliably exposed in result; digital download</x:v>
      </x:c>
      <x:c r="D20" s="68" t="str">
        <x:v>Recent listing in public search</x:v>
      </x:c>
      <x:c r="E20" s="68" t="str">
        <x:v>Inventory/claim records exist; narrow to easier photo capture and versioning, not generic inventories.</x:v>
      </x:c>
      <x:c r="F20" s="68" t="str">
        <x:v>https://www.etsy.com/listing/4558485475/home-inventory-bundle-insurance-policy</x:v>
      </x:c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5"/>
      <x:c r="AC20" s="65"/>
    </x:row>
    <x:row r="21" ht="60" customHeight="1">
      <x:c r="A21" s="68" t="str">
        <x:v>Quilting</x:v>
      </x:c>
      <x:c r="B21" s="68" t="str">
        <x:v>Quilter's Project Tracker</x:v>
      </x:c>
      <x:c r="C21" s="68" t="str">
        <x:v>One newer digital listing showed 11 sales and 3.9★ overall shop rating</x:v>
      </x:c>
      <x:c r="D21" s="68" t="str">
        <x:v>Listed Jul 2026; 4 months old</x:v>
      </x:c>
      <x:c r="E21" s="68" t="str">
        <x:v>A niche tracker is possible; buyer review history and product count still need stronger validation.</x:v>
      </x:c>
      <x:c r="F21" s="68" t="str">
        <x:v>https://www.etsy.com/listing/4475671938/quilters-project-tracker-o-printable</x:v>
      </x:c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</x:row>
    <x:row r="22" ht="60" customHeight="1">
      <x:c r="A22" s="68" t="str">
        <x:v>Meal coordination</x:v>
      </x:c>
      <x:c r="B22" s="68" t="str">
        <x:v>Meal Train Sign-up / Food Organizer</x:v>
      </x:c>
      <x:c r="C22" s="68" t="str">
        <x:v>Google Sheets template plus PDF guide</x:v>
      </x:c>
      <x:c r="D22" s="68" t="str">
        <x:v>Public listing observed 3 months ago</x:v>
      </x:c>
      <x:c r="E22" s="68" t="str">
        <x:v>A template exists; add privacy-safe delivery logistics rather than duplicating a basic signup sheet.</x:v>
      </x:c>
      <x:c r="F22" s="68" t="str">
        <x:v>https://www.etsy.com/listing/1575600653/meal-train-sign-up-food-organizer</x:v>
      </x:c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5"/>
      <x:c r="AC22" s="65"/>
    </x:row>
    <x:row r="23" ht="60" customHeight="1">
      <x:c r="A23" s="68" t="str">
        <x:v>Current Etsy trend</x:v>
      </x:c>
      <x:c r="B23" s="68" t="str">
        <x:v>Fall/Winter 2026 Seller Trend Report</x:v>
      </x:c>
      <x:c r="C23" s="68" t="str">
        <x:v>DIY activities +8,500%; personalised friend gifts +1,400%; Friendsmas sales +37%; pet-gifting searches doubled</x:v>
      </x:c>
      <x:c r="D23" s="68" t="str">
        <x:v>Report published 14 Oct 2026; data through 14 Sep 2026</x:v>
      </x:c>
      <x:c r="E23" s="68" t="str">
        <x:v>Seasonal cross-category search/sales signals, not direct demand for the proposed downloadable products.</x:v>
      </x:c>
      <x:c r="F23" s="68" t="str">
        <x:v>https://www.etsy.com/au/seller-handbook/article/1521255894814</x:v>
      </x:c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5"/>
      <x:c r="AC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5"/>
      <x:c r="AC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5"/>
      <x:c r="AC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5"/>
      <x:c r="AC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5"/>
      <x:c r="AC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5"/>
      <x:c r="AC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5"/>
      <x:c r="AC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5"/>
      <x:c r="AC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5"/>
      <x:c r="AC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5"/>
      <x:c r="AC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5"/>
      <x:c r="AC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5"/>
      <x:c r="AC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5"/>
      <x:c r="AC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5"/>
      <x:c r="AC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5"/>
      <x:c r="AC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5"/>
      <x:c r="AC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5"/>
      <x:c r="AC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5"/>
      <x:c r="AC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5"/>
      <x:c r="AC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5"/>
      <x:c r="AC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5"/>
      <x:c r="AC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5"/>
      <x:c r="AC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5"/>
      <x:c r="AC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5"/>
      <x:c r="AC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5"/>
      <x:c r="AC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5"/>
      <x:c r="AC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pageMargins left="0.7" right="0.7" top="0.75" bottom="0.75" header="0.3" footer="0.3"/>
  <x:tableParts count="1">
    <x:tablePart xmlns:r="http://schemas.openxmlformats.org/officeDocument/2006/relationships" r:id="Rd42dae3983f7493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30" hidden="0" customWidth="1"/>
    <x:col min="4" max="4" width="44" hidden="0" customWidth="1"/>
    <x:col min="5" max="5" width="16" hidden="0" customWidth="1"/>
    <x:col min="6" max="6" width="22" hidden="0" customWidth="1"/>
    <x:col min="7" max="7" width="20" hidden="0" customWidth="1"/>
    <x:col min="8" max="8" width="23" hidden="0" customWidth="1"/>
    <x:col min="9" max="9" width="42" hidden="0" customWidth="1"/>
    <x:col min="10" max="10" width="42" hidden="0" customWidth="1"/>
    <x:col min="11" max="11" width="25" hidden="0" customWidth="1"/>
    <x:col min="12" max="12" width="40" hidden="0" customWidth="1"/>
  </x:cols>
  <x:sheetData>
    <x:row r="1">
      <x:c r="A1" s="100" t="str">
        <x:v>Product ID</x:v>
      </x:c>
      <x:c r="B1" s="100" t="str">
        <x:v>Product concept</x:v>
      </x:c>
      <x:c r="C1" s="100" t="str">
        <x:v>Keyword to test</x:v>
      </x:c>
      <x:c r="D1" s="100" t="str">
        <x:v>Search intent hypothesis</x:v>
      </x:c>
      <x:c r="E1" s="100" t="str">
        <x:v>Checked date</x:v>
      </x:c>
      <x:c r="F1" s="100" t="str">
        <x:v>Marketplace Insights searches</x:v>
      </x:c>
      <x:c r="G1" s="100" t="str">
        <x:v>Matching listing count</x:v>
      </x:c>
      <x:c r="H1" s="100" t="str">
        <x:v>Trend (rising/flat/falling)</x:v>
      </x:c>
      <x:c r="I1" s="100" t="str">
        <x:v>Top competitor price + review/sales clues</x:v>
      </x:c>
      <x:c r="J1" s="100" t="str">
        <x:v>Gap noticed in top results</x:v>
      </x:c>
      <x:c r="K1" s="100" t="str">
        <x:v>Decision (test / refine / park)</x:v>
      </x:c>
      <x:c r="L1" s="100" t="str">
        <x:v>Notes</x:v>
      </x:c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</x:row>
    <x:row r="2" ht="30" customHeight="1">
      <x:c r="A2" s="68" t="n">
        <x:v>1</x:v>
      </x:c>
      <x:c r="B2" s="68" t="str">
        <x:v>Senior-pet multi-caregiver handoff kit</x:v>
      </x:c>
      <x:c r="C2" s="68" t="str">
        <x:v>senior pet care binder</x:v>
      </x:c>
      <x:c r="D2" s="68" t="str">
        <x:v>Core long-tail phrase; check actual search and listing counts.</x:v>
      </x:c>
      <x:c r="E2" s="68" t="str"/>
      <x:c r="F2" s="86" t="str"/>
      <x:c r="G2" s="86" t="str"/>
      <x:c r="H2" s="68" t="str"/>
      <x:c r="I2" s="68" t="str"/>
      <x:c r="J2" s="68" t="str"/>
      <x:c r="K2" s="68" t="str">
        <x:v>Not checked</x:v>
      </x:c>
      <x:c r="L2" s="68" t="str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</x:row>
    <x:row r="3" ht="30" customHeight="1">
      <x:c r="A3" s="68" t="n">
        <x:v>1</x:v>
      </x:c>
      <x:c r="B3" s="68" t="str">
        <x:v>Senior-pet multi-caregiver handoff kit</x:v>
      </x:c>
      <x:c r="C3" s="68" t="str">
        <x:v>pet sitter handoff form</x:v>
      </x:c>
      <x:c r="D3" s="68" t="str">
        <x:v>Alternate buyer wording; compare demand/competition with query 1.</x:v>
      </x:c>
      <x:c r="E3" s="68" t="str"/>
      <x:c r="F3" s="86" t="str"/>
      <x:c r="G3" s="86" t="str"/>
      <x:c r="H3" s="68" t="str"/>
      <x:c r="I3" s="68" t="str"/>
      <x:c r="J3" s="68" t="str"/>
      <x:c r="K3" s="68" t="str">
        <x:v>Not checked</x:v>
      </x:c>
      <x:c r="L3" s="68" t="str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  <x:c r="AC3" s="65"/>
    </x:row>
    <x:row r="4" ht="30" customHeight="1">
      <x:c r="A4" s="68" t="n">
        <x:v>2</x:v>
      </x:c>
      <x:c r="B4" s="68" t="str">
        <x:v>Foster-to-adoption pet transition passport</x:v>
      </x:c>
      <x:c r="C4" s="68" t="str">
        <x:v>pet foster transition</x:v>
      </x:c>
      <x:c r="D4" s="68" t="str">
        <x:v>Core long-tail phrase; check actual search and listing counts.</x:v>
      </x:c>
      <x:c r="E4" s="68" t="str"/>
      <x:c r="F4" s="86" t="str"/>
      <x:c r="G4" s="86" t="str"/>
      <x:c r="H4" s="68" t="str"/>
      <x:c r="I4" s="68" t="str"/>
      <x:c r="J4" s="68" t="str"/>
      <x:c r="K4" s="68" t="str">
        <x:v>Not checked</x:v>
      </x:c>
      <x:c r="L4" s="68" t="str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  <x:c r="AA4" s="65"/>
      <x:c r="AB4" s="65"/>
      <x:c r="AC4" s="65"/>
    </x:row>
    <x:row r="5" ht="30" customHeight="1">
      <x:c r="A5" s="68" t="n">
        <x:v>2</x:v>
      </x:c>
      <x:c r="B5" s="68" t="str">
        <x:v>Foster-to-adoption pet transition passport</x:v>
      </x:c>
      <x:c r="C5" s="68" t="str">
        <x:v>foster to adoption form</x:v>
      </x:c>
      <x:c r="D5" s="68" t="str">
        <x:v>Alternate buyer wording; compare demand/competition with query 1.</x:v>
      </x:c>
      <x:c r="E5" s="68" t="str"/>
      <x:c r="F5" s="86" t="str"/>
      <x:c r="G5" s="86" t="str"/>
      <x:c r="H5" s="68" t="str"/>
      <x:c r="I5" s="68" t="str"/>
      <x:c r="J5" s="68" t="str"/>
      <x:c r="K5" s="68" t="str">
        <x:v>Not checked</x:v>
      </x:c>
      <x:c r="L5" s="68" t="str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  <x:c r="AC5" s="65"/>
    </x:row>
    <x:row r="6" ht="30" customHeight="1">
      <x:c r="A6" s="68" t="n">
        <x:v>3</x:v>
      </x:c>
      <x:c r="B6" s="68" t="str">
        <x:v>Pet evacuation and reunification pack</x:v>
      </x:c>
      <x:c r="C6" s="68" t="str">
        <x:v>pet evacuation checklist</x:v>
      </x:c>
      <x:c r="D6" s="68" t="str">
        <x:v>Core long-tail phrase; check actual search and listing counts.</x:v>
      </x:c>
      <x:c r="E6" s="68" t="str"/>
      <x:c r="F6" s="86" t="str"/>
      <x:c r="G6" s="86" t="str"/>
      <x:c r="H6" s="68" t="str"/>
      <x:c r="I6" s="68" t="str"/>
      <x:c r="J6" s="68" t="str"/>
      <x:c r="K6" s="68" t="str">
        <x:v>Not checked</x:v>
      </x:c>
      <x:c r="L6" s="68" t="str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5"/>
      <x:c r="AC6" s="65"/>
    </x:row>
    <x:row r="7" ht="30" customHeight="1">
      <x:c r="A7" s="68" t="n">
        <x:v>3</x:v>
      </x:c>
      <x:c r="B7" s="68" t="str">
        <x:v>Pet evacuation and reunification pack</x:v>
      </x:c>
      <x:c r="C7" s="68" t="str">
        <x:v>pet emergency binder</x:v>
      </x:c>
      <x:c r="D7" s="68" t="str">
        <x:v>Alternate buyer wording; compare demand/competition with query 1.</x:v>
      </x:c>
      <x:c r="E7" s="68" t="str"/>
      <x:c r="F7" s="86" t="str"/>
      <x:c r="G7" s="86" t="str"/>
      <x:c r="H7" s="68" t="str"/>
      <x:c r="I7" s="68" t="str"/>
      <x:c r="J7" s="68" t="str"/>
      <x:c r="K7" s="68" t="str">
        <x:v>Not checked</x:v>
      </x:c>
      <x:c r="L7" s="68" t="str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  <x:c r="AC7" s="65"/>
    </x:row>
    <x:row r="8" ht="30" customHeight="1">
      <x:c r="A8" s="68" t="n">
        <x:v>4</x:v>
      </x:c>
      <x:c r="B8" s="68" t="str">
        <x:v>Solar and home-battery owner log</x:v>
      </x:c>
      <x:c r="C8" s="68" t="str">
        <x:v>solar battery maintenance log</x:v>
      </x:c>
      <x:c r="D8" s="68" t="str">
        <x:v>Core long-tail phrase; check actual search and listing counts.</x:v>
      </x:c>
      <x:c r="E8" s="68" t="str"/>
      <x:c r="F8" s="86" t="str"/>
      <x:c r="G8" s="86" t="str"/>
      <x:c r="H8" s="68" t="str"/>
      <x:c r="I8" s="68" t="str"/>
      <x:c r="J8" s="68" t="str"/>
      <x:c r="K8" s="68" t="str">
        <x:v>Not checked</x:v>
      </x:c>
      <x:c r="L8" s="68" t="str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5"/>
      <x:c r="AC8" s="65"/>
    </x:row>
    <x:row r="9" ht="30" customHeight="1">
      <x:c r="A9" s="68" t="n">
        <x:v>4</x:v>
      </x:c>
      <x:c r="B9" s="68" t="str">
        <x:v>Solar and home-battery owner log</x:v>
      </x:c>
      <x:c r="C9" s="68" t="str">
        <x:v>solar warranty tracker</x:v>
      </x:c>
      <x:c r="D9" s="68" t="str">
        <x:v>Alternate buyer wording; compare demand/competition with query 1.</x:v>
      </x:c>
      <x:c r="E9" s="68" t="str"/>
      <x:c r="F9" s="86" t="str"/>
      <x:c r="G9" s="86" t="str"/>
      <x:c r="H9" s="68" t="str"/>
      <x:c r="I9" s="68" t="str"/>
      <x:c r="J9" s="68" t="str"/>
      <x:c r="K9" s="68" t="str">
        <x:v>Not checked</x:v>
      </x:c>
      <x:c r="L9" s="68" t="str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  <x:c r="AC9" s="65"/>
    </x:row>
    <x:row r="10" ht="30" customHeight="1">
      <x:c r="A10" s="68" t="n">
        <x:v>5</x:v>
      </x:c>
      <x:c r="B10" s="68" t="str">
        <x:v>Home insurance evidence-capture kit</x:v>
      </x:c>
      <x:c r="C10" s="68" t="str">
        <x:v>home inventory insurance</x:v>
      </x:c>
      <x:c r="D10" s="68" t="str">
        <x:v>Core long-tail phrase; check actual search and listing counts.</x:v>
      </x:c>
      <x:c r="E10" s="68" t="str"/>
      <x:c r="F10" s="86" t="str"/>
      <x:c r="G10" s="86" t="str"/>
      <x:c r="H10" s="68" t="str"/>
      <x:c r="I10" s="68" t="str"/>
      <x:c r="J10" s="68" t="str"/>
      <x:c r="K10" s="68" t="str">
        <x:v>Not checked</x:v>
      </x:c>
      <x:c r="L10" s="68" t="str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</x:row>
    <x:row r="11" ht="30" customHeight="1">
      <x:c r="A11" s="68" t="n">
        <x:v>5</x:v>
      </x:c>
      <x:c r="B11" s="68" t="str">
        <x:v>Home insurance evidence-capture kit</x:v>
      </x:c>
      <x:c r="C11" s="68" t="str">
        <x:v>insurance claim tracker</x:v>
      </x:c>
      <x:c r="D11" s="68" t="str">
        <x:v>Alternate buyer wording; compare demand/competition with query 1.</x:v>
      </x:c>
      <x:c r="E11" s="68" t="str"/>
      <x:c r="F11" s="86" t="str"/>
      <x:c r="G11" s="86" t="str"/>
      <x:c r="H11" s="68" t="str"/>
      <x:c r="I11" s="68" t="str"/>
      <x:c r="J11" s="68" t="str"/>
      <x:c r="K11" s="68" t="str">
        <x:v>Not checked</x:v>
      </x:c>
      <x:c r="L11" s="68" t="str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  <x:c r="AC11" s="65"/>
    </x:row>
    <x:row r="12" ht="30" customHeight="1">
      <x:c r="A12" s="68" t="n">
        <x:v>6</x:v>
      </x:c>
      <x:c r="B12" s="68" t="str">
        <x:v>Home systems and shutoff map binder</x:v>
      </x:c>
      <x:c r="C12" s="68" t="str">
        <x:v>home systems binder</x:v>
      </x:c>
      <x:c r="D12" s="68" t="str">
        <x:v>Core long-tail phrase; check actual search and listing counts.</x:v>
      </x:c>
      <x:c r="E12" s="68" t="str"/>
      <x:c r="F12" s="86" t="str"/>
      <x:c r="G12" s="86" t="str"/>
      <x:c r="H12" s="68" t="str"/>
      <x:c r="I12" s="68" t="str"/>
      <x:c r="J12" s="68" t="str"/>
      <x:c r="K12" s="68" t="str">
        <x:v>Not checked</x:v>
      </x:c>
      <x:c r="L12" s="68" t="str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5"/>
      <x:c r="AC12" s="65"/>
    </x:row>
    <x:row r="13" ht="30" customHeight="1">
      <x:c r="A13" s="68" t="n">
        <x:v>6</x:v>
      </x:c>
      <x:c r="B13" s="68" t="str">
        <x:v>Home systems and shutoff map binder</x:v>
      </x:c>
      <x:c r="C13" s="68" t="str">
        <x:v>home shutoff map</x:v>
      </x:c>
      <x:c r="D13" s="68" t="str">
        <x:v>Alternate buyer wording; compare demand/competition with query 1.</x:v>
      </x:c>
      <x:c r="E13" s="68" t="str"/>
      <x:c r="F13" s="86" t="str"/>
      <x:c r="G13" s="86" t="str"/>
      <x:c r="H13" s="68" t="str"/>
      <x:c r="I13" s="68" t="str"/>
      <x:c r="J13" s="68" t="str"/>
      <x:c r="K13" s="68" t="str">
        <x:v>Not checked</x:v>
      </x:c>
      <x:c r="L13" s="68" t="str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5"/>
      <x:c r="AC13" s="65"/>
    </x:row>
    <x:row r="14" ht="30" customHeight="1">
      <x:c r="A14" s="68" t="n">
        <x:v>7</x:v>
      </x:c>
      <x:c r="B14" s="68" t="str">
        <x:v>New-build handover and defect tracker</x:v>
      </x:c>
      <x:c r="C14" s="68" t="str">
        <x:v>new build handover</x:v>
      </x:c>
      <x:c r="D14" s="68" t="str">
        <x:v>Core long-tail phrase; check actual search and listing counts.</x:v>
      </x:c>
      <x:c r="E14" s="68" t="str"/>
      <x:c r="F14" s="86" t="str"/>
      <x:c r="G14" s="86" t="str"/>
      <x:c r="H14" s="68" t="str"/>
      <x:c r="I14" s="68" t="str"/>
      <x:c r="J14" s="68" t="str"/>
      <x:c r="K14" s="68" t="str">
        <x:v>Not checked</x:v>
      </x:c>
      <x:c r="L14" s="68" t="str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5"/>
      <x:c r="AC14" s="65"/>
    </x:row>
    <x:row r="15" ht="30" customHeight="1">
      <x:c r="A15" s="68" t="n">
        <x:v>7</x:v>
      </x:c>
      <x:c r="B15" s="68" t="str">
        <x:v>New-build handover and defect tracker</x:v>
      </x:c>
      <x:c r="C15" s="68" t="str">
        <x:v>defect tracker template</x:v>
      </x:c>
      <x:c r="D15" s="68" t="str">
        <x:v>Alternate buyer wording; compare demand/competition with query 1.</x:v>
      </x:c>
      <x:c r="E15" s="68" t="str"/>
      <x:c r="F15" s="86" t="str"/>
      <x:c r="G15" s="86" t="str"/>
      <x:c r="H15" s="68" t="str"/>
      <x:c r="I15" s="68" t="str"/>
      <x:c r="J15" s="68" t="str"/>
      <x:c r="K15" s="68" t="str">
        <x:v>Not checked</x:v>
      </x:c>
      <x:c r="L15" s="68" t="str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5"/>
      <x:c r="AC15" s="65"/>
    </x:row>
    <x:row r="16" ht="30" customHeight="1">
      <x:c r="A16" s="68" t="n">
        <x:v>8</x:v>
      </x:c>
      <x:c r="B16" s="68" t="str">
        <x:v>Roommate move-in and shared-house operations kit</x:v>
      </x:c>
      <x:c r="C16" s="68" t="str">
        <x:v>roommate move in kit</x:v>
      </x:c>
      <x:c r="D16" s="68" t="str">
        <x:v>Core long-tail phrase; check actual search and listing counts.</x:v>
      </x:c>
      <x:c r="E16" s="68" t="str"/>
      <x:c r="F16" s="86" t="str"/>
      <x:c r="G16" s="86" t="str"/>
      <x:c r="H16" s="68" t="str"/>
      <x:c r="I16" s="68" t="str"/>
      <x:c r="J16" s="68" t="str"/>
      <x:c r="K16" s="68" t="str">
        <x:v>Not checked</x:v>
      </x:c>
      <x:c r="L16" s="68" t="str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</x:row>
    <x:row r="17" ht="30" customHeight="1">
      <x:c r="A17" s="68" t="n">
        <x:v>8</x:v>
      </x:c>
      <x:c r="B17" s="68" t="str">
        <x:v>Roommate move-in and shared-house operations kit</x:v>
      </x:c>
      <x:c r="C17" s="68" t="str">
        <x:v>shared bills tracker</x:v>
      </x:c>
      <x:c r="D17" s="68" t="str">
        <x:v>Alternate buyer wording; compare demand/competition with query 1.</x:v>
      </x:c>
      <x:c r="E17" s="68" t="str"/>
      <x:c r="F17" s="86" t="str"/>
      <x:c r="G17" s="86" t="str"/>
      <x:c r="H17" s="68" t="str"/>
      <x:c r="I17" s="68" t="str"/>
      <x:c r="J17" s="68" t="str"/>
      <x:c r="K17" s="68" t="str">
        <x:v>Not checked</x:v>
      </x:c>
      <x:c r="L17" s="68" t="str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5"/>
      <x:c r="AC17" s="65"/>
    </x:row>
    <x:row r="18" ht="30" customHeight="1">
      <x:c r="A18" s="68" t="n">
        <x:v>9</x:v>
      </x:c>
      <x:c r="B18" s="68" t="str">
        <x:v>Cabin and glamping guest guide</x:v>
      </x:c>
      <x:c r="C18" s="68" t="str">
        <x:v>cabin guest book</x:v>
      </x:c>
      <x:c r="D18" s="68" t="str">
        <x:v>Core long-tail phrase; check actual search and listing counts.</x:v>
      </x:c>
      <x:c r="E18" s="68" t="str"/>
      <x:c r="F18" s="86" t="str"/>
      <x:c r="G18" s="86" t="str"/>
      <x:c r="H18" s="68" t="str"/>
      <x:c r="I18" s="68" t="str"/>
      <x:c r="J18" s="68" t="str"/>
      <x:c r="K18" s="68" t="str">
        <x:v>Not checked</x:v>
      </x:c>
      <x:c r="L18" s="68" t="str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5"/>
      <x:c r="AC18" s="65"/>
    </x:row>
    <x:row r="19" ht="30" customHeight="1">
      <x:c r="A19" s="68" t="n">
        <x:v>9</x:v>
      </x:c>
      <x:c r="B19" s="68" t="str">
        <x:v>Cabin and glamping guest guide</x:v>
      </x:c>
      <x:c r="C19" s="68" t="str">
        <x:v>glamping welcome guide</x:v>
      </x:c>
      <x:c r="D19" s="68" t="str">
        <x:v>Alternate buyer wording; compare demand/competition with query 1.</x:v>
      </x:c>
      <x:c r="E19" s="68" t="str"/>
      <x:c r="F19" s="86" t="str"/>
      <x:c r="G19" s="86" t="str"/>
      <x:c r="H19" s="68" t="str"/>
      <x:c r="I19" s="68" t="str"/>
      <x:c r="J19" s="68" t="str"/>
      <x:c r="K19" s="68" t="str">
        <x:v>Not checked</x:v>
      </x:c>
      <x:c r="L19" s="68" t="str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5"/>
      <x:c r="AC19" s="65"/>
    </x:row>
    <x:row r="20" ht="30" customHeight="1">
      <x:c r="A20" s="68" t="n">
        <x:v>10</x:v>
      </x:c>
      <x:c r="B20" s="68" t="str">
        <x:v>Multi-property rental turnover dashboard</x:v>
      </x:c>
      <x:c r="C20" s="68" t="str">
        <x:v>rental turnover tracker</x:v>
      </x:c>
      <x:c r="D20" s="68" t="str">
        <x:v>Core long-tail phrase; check actual search and listing counts.</x:v>
      </x:c>
      <x:c r="E20" s="68" t="str"/>
      <x:c r="F20" s="86" t="str"/>
      <x:c r="G20" s="86" t="str"/>
      <x:c r="H20" s="68" t="str"/>
      <x:c r="I20" s="68" t="str"/>
      <x:c r="J20" s="68" t="str"/>
      <x:c r="K20" s="68" t="str">
        <x:v>Not checked</x:v>
      </x:c>
      <x:c r="L20" s="68" t="str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5"/>
      <x:c r="AC20" s="65"/>
    </x:row>
    <x:row r="21" ht="30" customHeight="1">
      <x:c r="A21" s="68" t="n">
        <x:v>10</x:v>
      </x:c>
      <x:c r="B21" s="68" t="str">
        <x:v>Multi-property rental turnover dashboard</x:v>
      </x:c>
      <x:c r="C21" s="68" t="str">
        <x:v>airbnb restock checklist</x:v>
      </x:c>
      <x:c r="D21" s="68" t="str">
        <x:v>Alternate buyer wording; compare demand/competition with query 1.</x:v>
      </x:c>
      <x:c r="E21" s="68" t="str"/>
      <x:c r="F21" s="86" t="str"/>
      <x:c r="G21" s="86" t="str"/>
      <x:c r="H21" s="68" t="str"/>
      <x:c r="I21" s="68" t="str"/>
      <x:c r="J21" s="68" t="str"/>
      <x:c r="K21" s="68" t="str">
        <x:v>Not checked</x:v>
      </x:c>
      <x:c r="L21" s="68" t="str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</x:row>
    <x:row r="22" ht="30" customHeight="1">
      <x:c r="A22" s="68" t="n">
        <x:v>11</x:v>
      </x:c>
      <x:c r="B22" s="68" t="str">
        <x:v>Pet-friendly vacation rental guide</x:v>
      </x:c>
      <x:c r="C22" s="68" t="str">
        <x:v>pet friendly rental</x:v>
      </x:c>
      <x:c r="D22" s="68" t="str">
        <x:v>Core long-tail phrase; check actual search and listing counts.</x:v>
      </x:c>
      <x:c r="E22" s="68" t="str"/>
      <x:c r="F22" s="86" t="str"/>
      <x:c r="G22" s="86" t="str"/>
      <x:c r="H22" s="68" t="str"/>
      <x:c r="I22" s="68" t="str"/>
      <x:c r="J22" s="68" t="str"/>
      <x:c r="K22" s="68" t="str">
        <x:v>Not checked</x:v>
      </x:c>
      <x:c r="L22" s="68" t="str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5"/>
      <x:c r="AC22" s="65"/>
    </x:row>
    <x:row r="23" ht="30" customHeight="1">
      <x:c r="A23" s="68" t="n">
        <x:v>11</x:v>
      </x:c>
      <x:c r="B23" s="68" t="str">
        <x:v>Pet-friendly vacation rental guide</x:v>
      </x:c>
      <x:c r="C23" s="68" t="str">
        <x:v>dog welcome book</x:v>
      </x:c>
      <x:c r="D23" s="68" t="str">
        <x:v>Alternate buyer wording; compare demand/competition with query 1.</x:v>
      </x:c>
      <x:c r="E23" s="68" t="str"/>
      <x:c r="F23" s="86" t="str"/>
      <x:c r="G23" s="86" t="str"/>
      <x:c r="H23" s="68" t="str"/>
      <x:c r="I23" s="68" t="str"/>
      <x:c r="J23" s="68" t="str"/>
      <x:c r="K23" s="68" t="str">
        <x:v>Not checked</x:v>
      </x:c>
      <x:c r="L23" s="68" t="str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5"/>
      <x:c r="AC23" s="65"/>
    </x:row>
    <x:row r="24" ht="30" customHeight="1">
      <x:c r="A24" s="68" t="n">
        <x:v>12</x:v>
      </x:c>
      <x:c r="B24" s="68" t="str">
        <x:v>Solo cleaner site-visit operations kit</x:v>
      </x:c>
      <x:c r="C24" s="68" t="str">
        <x:v>cleaning business forms</x:v>
      </x:c>
      <x:c r="D24" s="68" t="str">
        <x:v>Core long-tail phrase; check actual search and listing counts.</x:v>
      </x:c>
      <x:c r="E24" s="68" t="str"/>
      <x:c r="F24" s="86" t="str"/>
      <x:c r="G24" s="86" t="str"/>
      <x:c r="H24" s="68" t="str"/>
      <x:c r="I24" s="68" t="str"/>
      <x:c r="J24" s="68" t="str"/>
      <x:c r="K24" s="68" t="str">
        <x:v>Not checked</x:v>
      </x:c>
      <x:c r="L24" s="68" t="str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5"/>
      <x:c r="AC24" s="65"/>
    </x:row>
    <x:row r="25" ht="30" customHeight="1">
      <x:c r="A25" s="68" t="n">
        <x:v>12</x:v>
      </x:c>
      <x:c r="B25" s="68" t="str">
        <x:v>Solo cleaner site-visit operations kit</x:v>
      </x:c>
      <x:c r="C25" s="68" t="str">
        <x:v>house cleaner checklist</x:v>
      </x:c>
      <x:c r="D25" s="68" t="str">
        <x:v>Alternate buyer wording; compare demand/competition with query 1.</x:v>
      </x:c>
      <x:c r="E25" s="68" t="str"/>
      <x:c r="F25" s="86" t="str"/>
      <x:c r="G25" s="86" t="str"/>
      <x:c r="H25" s="68" t="str"/>
      <x:c r="I25" s="68" t="str"/>
      <x:c r="J25" s="68" t="str"/>
      <x:c r="K25" s="68" t="str">
        <x:v>Not checked</x:v>
      </x:c>
      <x:c r="L25" s="68" t="str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5"/>
      <x:c r="AC25" s="65"/>
    </x:row>
    <x:row r="26" ht="30" customHeight="1">
      <x:c r="A26" s="68" t="n">
        <x:v>13</x:v>
      </x:c>
      <x:c r="B26" s="68" t="str">
        <x:v>Mobile dog groomer client and route kit</x:v>
      </x:c>
      <x:c r="C26" s="68" t="str">
        <x:v>mobile dog grooming</x:v>
      </x:c>
      <x:c r="D26" s="68" t="str">
        <x:v>Core long-tail phrase; check actual search and listing counts.</x:v>
      </x:c>
      <x:c r="E26" s="68" t="str"/>
      <x:c r="F26" s="86" t="str"/>
      <x:c r="G26" s="86" t="str"/>
      <x:c r="H26" s="68" t="str"/>
      <x:c r="I26" s="68" t="str"/>
      <x:c r="J26" s="68" t="str"/>
      <x:c r="K26" s="68" t="str">
        <x:v>Not checked</x:v>
      </x:c>
      <x:c r="L26" s="68" t="str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5"/>
      <x:c r="AC26" s="65"/>
    </x:row>
    <x:row r="27" ht="30" customHeight="1">
      <x:c r="A27" s="68" t="n">
        <x:v>13</x:v>
      </x:c>
      <x:c r="B27" s="68" t="str">
        <x:v>Mobile dog groomer client and route kit</x:v>
      </x:c>
      <x:c r="C27" s="68" t="str">
        <x:v>groomer client tracker</x:v>
      </x:c>
      <x:c r="D27" s="68" t="str">
        <x:v>Alternate buyer wording; compare demand/competition with query 1.</x:v>
      </x:c>
      <x:c r="E27" s="68" t="str"/>
      <x:c r="F27" s="86" t="str"/>
      <x:c r="G27" s="86" t="str"/>
      <x:c r="H27" s="68" t="str"/>
      <x:c r="I27" s="68" t="str"/>
      <x:c r="J27" s="68" t="str"/>
      <x:c r="K27" s="68" t="str">
        <x:v>Not checked</x:v>
      </x:c>
      <x:c r="L27" s="68" t="str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5"/>
      <x:c r="AC27" s="65"/>
    </x:row>
    <x:row r="28" ht="30" customHeight="1">
      <x:c r="A28" s="68" t="n">
        <x:v>14</x:v>
      </x:c>
      <x:c r="B28" s="68" t="str">
        <x:v>Mobile detailing job margin and rebooking dashboard</x:v>
      </x:c>
      <x:c r="C28" s="68" t="str">
        <x:v>mobile detailing kit</x:v>
      </x:c>
      <x:c r="D28" s="68" t="str">
        <x:v>Core long-tail phrase; check actual search and listing counts.</x:v>
      </x:c>
      <x:c r="E28" s="68" t="str"/>
      <x:c r="F28" s="86" t="str"/>
      <x:c r="G28" s="86" t="str"/>
      <x:c r="H28" s="68" t="str"/>
      <x:c r="I28" s="68" t="str"/>
      <x:c r="J28" s="68" t="str"/>
      <x:c r="K28" s="68" t="str">
        <x:v>Not checked</x:v>
      </x:c>
      <x:c r="L28" s="68" t="str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5"/>
      <x:c r="AC28" s="65"/>
    </x:row>
    <x:row r="29" ht="30" customHeight="1">
      <x:c r="A29" s="68" t="n">
        <x:v>14</x:v>
      </x:c>
      <x:c r="B29" s="68" t="str">
        <x:v>Mobile detailing job margin and rebooking dashboard</x:v>
      </x:c>
      <x:c r="C29" s="68" t="str">
        <x:v>detailing quote calculator</x:v>
      </x:c>
      <x:c r="D29" s="68" t="str">
        <x:v>Alternate buyer wording; compare demand/competition with query 1.</x:v>
      </x:c>
      <x:c r="E29" s="68" t="str"/>
      <x:c r="F29" s="86" t="str"/>
      <x:c r="G29" s="86" t="str"/>
      <x:c r="H29" s="68" t="str"/>
      <x:c r="I29" s="68" t="str"/>
      <x:c r="J29" s="68" t="str"/>
      <x:c r="K29" s="68" t="str">
        <x:v>Not checked</x:v>
      </x:c>
      <x:c r="L29" s="68" t="str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5"/>
      <x:c r="AC29" s="65"/>
    </x:row>
    <x:row r="30" ht="30" customHeight="1">
      <x:c r="A30" s="68" t="n">
        <x:v>15</x:v>
      </x:c>
      <x:c r="B30" s="68" t="str">
        <x:v>Friendsmas chosen-family hosting kit</x:v>
      </x:c>
      <x:c r="C30" s="68" t="str">
        <x:v>friendsmas party kit</x:v>
      </x:c>
      <x:c r="D30" s="68" t="str">
        <x:v>Core long-tail phrase; check actual search and listing counts.</x:v>
      </x:c>
      <x:c r="E30" s="68" t="str"/>
      <x:c r="F30" s="86" t="str"/>
      <x:c r="G30" s="86" t="str"/>
      <x:c r="H30" s="68" t="str"/>
      <x:c r="I30" s="68" t="str"/>
      <x:c r="J30" s="68" t="str"/>
      <x:c r="K30" s="68" t="str">
        <x:v>Not checked</x:v>
      </x:c>
      <x:c r="L30" s="68" t="str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5"/>
      <x:c r="AC30" s="65"/>
    </x:row>
    <x:row r="31" ht="30" customHeight="1">
      <x:c r="A31" s="68" t="n">
        <x:v>15</x:v>
      </x:c>
      <x:c r="B31" s="68" t="str">
        <x:v>Friendsmas chosen-family hosting kit</x:v>
      </x:c>
      <x:c r="C31" s="68" t="str">
        <x:v>friendsmas games</x:v>
      </x:c>
      <x:c r="D31" s="68" t="str">
        <x:v>Alternate buyer wording; compare demand/competition with query 1.</x:v>
      </x:c>
      <x:c r="E31" s="68" t="str"/>
      <x:c r="F31" s="86" t="str"/>
      <x:c r="G31" s="86" t="str"/>
      <x:c r="H31" s="68" t="str"/>
      <x:c r="I31" s="68" t="str"/>
      <x:c r="J31" s="68" t="str"/>
      <x:c r="K31" s="68" t="str">
        <x:v>Not checked</x:v>
      </x:c>
      <x:c r="L31" s="68" t="str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5"/>
      <x:c r="AC31" s="65"/>
    </x:row>
    <x:row r="32" ht="30" customHeight="1">
      <x:c r="A32" s="68" t="n">
        <x:v>16</x:v>
      </x:c>
      <x:c r="B32" s="68" t="str">
        <x:v>Adult craft-night host system</x:v>
      </x:c>
      <x:c r="C32" s="68" t="str">
        <x:v>craft night kit</x:v>
      </x:c>
      <x:c r="D32" s="68" t="str">
        <x:v>Core long-tail phrase; check actual search and listing counts.</x:v>
      </x:c>
      <x:c r="E32" s="68" t="str"/>
      <x:c r="F32" s="86" t="str"/>
      <x:c r="G32" s="86" t="str"/>
      <x:c r="H32" s="68" t="str"/>
      <x:c r="I32" s="68" t="str"/>
      <x:c r="J32" s="68" t="str"/>
      <x:c r="K32" s="68" t="str">
        <x:v>Not checked</x:v>
      </x:c>
      <x:c r="L32" s="68" t="str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5"/>
      <x:c r="AC32" s="65"/>
    </x:row>
    <x:row r="33" ht="30" customHeight="1">
      <x:c r="A33" s="68" t="n">
        <x:v>16</x:v>
      </x:c>
      <x:c r="B33" s="68" t="str">
        <x:v>Adult craft-night host system</x:v>
      </x:c>
      <x:c r="C33" s="68" t="str">
        <x:v>adult diy activity</x:v>
      </x:c>
      <x:c r="D33" s="68" t="str">
        <x:v>Alternate buyer wording; compare demand/competition with query 1.</x:v>
      </x:c>
      <x:c r="E33" s="68" t="str"/>
      <x:c r="F33" s="86" t="str"/>
      <x:c r="G33" s="86" t="str"/>
      <x:c r="H33" s="68" t="str"/>
      <x:c r="I33" s="68" t="str"/>
      <x:c r="J33" s="68" t="str"/>
      <x:c r="K33" s="68" t="str">
        <x:v>Not checked</x:v>
      </x:c>
      <x:c r="L33" s="68" t="str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5"/>
      <x:c r="AC33" s="65"/>
    </x:row>
    <x:row r="34" ht="30" customHeight="1">
      <x:c r="A34" s="68" t="n">
        <x:v>17</x:v>
      </x:c>
      <x:c r="B34" s="68" t="str">
        <x:v>Sensory-considerate wedding guest guide</x:v>
      </x:c>
      <x:c r="C34" s="68" t="str">
        <x:v>sensory friendly wedding</x:v>
      </x:c>
      <x:c r="D34" s="68" t="str">
        <x:v>Core long-tail phrase; check actual search and listing counts.</x:v>
      </x:c>
      <x:c r="E34" s="68" t="str"/>
      <x:c r="F34" s="86" t="str"/>
      <x:c r="G34" s="86" t="str"/>
      <x:c r="H34" s="68" t="str"/>
      <x:c r="I34" s="68" t="str"/>
      <x:c r="J34" s="68" t="str"/>
      <x:c r="K34" s="68" t="str">
        <x:v>Not checked</x:v>
      </x:c>
      <x:c r="L34" s="68" t="str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5"/>
      <x:c r="AC34" s="65"/>
    </x:row>
    <x:row r="35" ht="30" customHeight="1">
      <x:c r="A35" s="68" t="n">
        <x:v>17</x:v>
      </x:c>
      <x:c r="B35" s="68" t="str">
        <x:v>Sensory-considerate wedding guest guide</x:v>
      </x:c>
      <x:c r="C35" s="68" t="str">
        <x:v>accessible wedding guide</x:v>
      </x:c>
      <x:c r="D35" s="68" t="str">
        <x:v>Alternate buyer wording; compare demand/competition with query 1.</x:v>
      </x:c>
      <x:c r="E35" s="68" t="str"/>
      <x:c r="F35" s="86" t="str"/>
      <x:c r="G35" s="86" t="str"/>
      <x:c r="H35" s="68" t="str"/>
      <x:c r="I35" s="68" t="str"/>
      <x:c r="J35" s="68" t="str"/>
      <x:c r="K35" s="68" t="str">
        <x:v>Not checked</x:v>
      </x:c>
      <x:c r="L35" s="68" t="str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</x:row>
    <x:row r="36" ht="30" customHeight="1">
      <x:c r="A36" s="68" t="n">
        <x:v>18</x:v>
      </x:c>
      <x:c r="B36" s="68" t="str">
        <x:v>Micro-wedding day-of command binder</x:v>
      </x:c>
      <x:c r="C36" s="68" t="str">
        <x:v>micro wedding planner</x:v>
      </x:c>
      <x:c r="D36" s="68" t="str">
        <x:v>Core long-tail phrase; check actual search and listing counts.</x:v>
      </x:c>
      <x:c r="E36" s="68" t="str"/>
      <x:c r="F36" s="86" t="str"/>
      <x:c r="G36" s="86" t="str"/>
      <x:c r="H36" s="68" t="str"/>
      <x:c r="I36" s="68" t="str"/>
      <x:c r="J36" s="68" t="str"/>
      <x:c r="K36" s="68" t="str">
        <x:v>Not checked</x:v>
      </x:c>
      <x:c r="L36" s="68" t="str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5"/>
      <x:c r="AC36" s="65"/>
    </x:row>
    <x:row r="37" ht="30" customHeight="1">
      <x:c r="A37" s="68" t="n">
        <x:v>18</x:v>
      </x:c>
      <x:c r="B37" s="68" t="str">
        <x:v>Micro-wedding day-of command binder</x:v>
      </x:c>
      <x:c r="C37" s="68" t="str">
        <x:v>wedding day timeline</x:v>
      </x:c>
      <x:c r="D37" s="68" t="str">
        <x:v>Alternate buyer wording; compare demand/competition with query 1.</x:v>
      </x:c>
      <x:c r="E37" s="68" t="str"/>
      <x:c r="F37" s="86" t="str"/>
      <x:c r="G37" s="86" t="str"/>
      <x:c r="H37" s="68" t="str"/>
      <x:c r="I37" s="68" t="str"/>
      <x:c r="J37" s="68" t="str"/>
      <x:c r="K37" s="68" t="str">
        <x:v>Not checked</x:v>
      </x:c>
      <x:c r="L37" s="68" t="str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5"/>
      <x:c r="AC37" s="65"/>
    </x:row>
    <x:row r="38" ht="30" customHeight="1">
      <x:c r="A38" s="68" t="n">
        <x:v>19</x:v>
      </x:c>
      <x:c r="B38" s="68" t="str">
        <x:v>Multi-event South Asian wedding guest logistics kit</x:v>
      </x:c>
      <x:c r="C38" s="68" t="str">
        <x:v>south asian wedding</x:v>
      </x:c>
      <x:c r="D38" s="68" t="str">
        <x:v>Core long-tail phrase; check actual search and listing counts.</x:v>
      </x:c>
      <x:c r="E38" s="68" t="str"/>
      <x:c r="F38" s="86" t="str"/>
      <x:c r="G38" s="86" t="str"/>
      <x:c r="H38" s="68" t="str"/>
      <x:c r="I38" s="68" t="str"/>
      <x:c r="J38" s="68" t="str"/>
      <x:c r="K38" s="68" t="str">
        <x:v>Not checked</x:v>
      </x:c>
      <x:c r="L38" s="68" t="str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5"/>
      <x:c r="AC38" s="65"/>
    </x:row>
    <x:row r="39" ht="30" customHeight="1">
      <x:c r="A39" s="68" t="n">
        <x:v>19</x:v>
      </x:c>
      <x:c r="B39" s="68" t="str">
        <x:v>Multi-event South Asian wedding guest logistics kit</x:v>
      </x:c>
      <x:c r="C39" s="68" t="str">
        <x:v>multi day wedding itinerary</x:v>
      </x:c>
      <x:c r="D39" s="68" t="str">
        <x:v>Alternate buyer wording; compare demand/competition with query 1.</x:v>
      </x:c>
      <x:c r="E39" s="68" t="str"/>
      <x:c r="F39" s="86" t="str"/>
      <x:c r="G39" s="86" t="str"/>
      <x:c r="H39" s="68" t="str"/>
      <x:c r="I39" s="68" t="str"/>
      <x:c r="J39" s="68" t="str"/>
      <x:c r="K39" s="68" t="str">
        <x:v>Not checked</x:v>
      </x:c>
      <x:c r="L39" s="68" t="str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5"/>
      <x:c r="AC39" s="65"/>
    </x:row>
    <x:row r="40" ht="30" customHeight="1">
      <x:c r="A40" s="68" t="n">
        <x:v>20</x:v>
      </x:c>
      <x:c r="B40" s="68" t="str">
        <x:v>Weather-proof outdoor celebration contingency kit</x:v>
      </x:c>
      <x:c r="C40" s="68" t="str">
        <x:v>outdoor wedding backup</x:v>
      </x:c>
      <x:c r="D40" s="68" t="str">
        <x:v>Core long-tail phrase; check actual search and listing counts.</x:v>
      </x:c>
      <x:c r="E40" s="68" t="str"/>
      <x:c r="F40" s="86" t="str"/>
      <x:c r="G40" s="86" t="str"/>
      <x:c r="H40" s="68" t="str"/>
      <x:c r="I40" s="68" t="str"/>
      <x:c r="J40" s="68" t="str"/>
      <x:c r="K40" s="68" t="str">
        <x:v>Not checked</x:v>
      </x:c>
      <x:c r="L40" s="68" t="str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5"/>
      <x:c r="AC40" s="65"/>
    </x:row>
    <x:row r="41" ht="30" customHeight="1">
      <x:c r="A41" s="68" t="n">
        <x:v>20</x:v>
      </x:c>
      <x:c r="B41" s="68" t="str">
        <x:v>Weather-proof outdoor celebration contingency kit</x:v>
      </x:c>
      <x:c r="C41" s="68" t="str">
        <x:v>rain plan wedding</x:v>
      </x:c>
      <x:c r="D41" s="68" t="str">
        <x:v>Alternate buyer wording; compare demand/competition with query 1.</x:v>
      </x:c>
      <x:c r="E41" s="68" t="str"/>
      <x:c r="F41" s="86" t="str"/>
      <x:c r="G41" s="86" t="str"/>
      <x:c r="H41" s="68" t="str"/>
      <x:c r="I41" s="68" t="str"/>
      <x:c r="J41" s="68" t="str"/>
      <x:c r="K41" s="68" t="str">
        <x:v>Not checked</x:v>
      </x:c>
      <x:c r="L41" s="68" t="str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5"/>
      <x:c r="AC41" s="65"/>
    </x:row>
    <x:row r="42" ht="30" customHeight="1">
      <x:c r="A42" s="68" t="n">
        <x:v>21</x:v>
      </x:c>
      <x:c r="B42" s="68" t="str">
        <x:v>Homeschool nature-journal and field-trip portfolio</x:v>
      </x:c>
      <x:c r="C42" s="68" t="str">
        <x:v>homeschool nature journal</x:v>
      </x:c>
      <x:c r="D42" s="68" t="str">
        <x:v>Core long-tail phrase; check actual search and listing counts.</x:v>
      </x:c>
      <x:c r="E42" s="68" t="str"/>
      <x:c r="F42" s="86" t="str"/>
      <x:c r="G42" s="86" t="str"/>
      <x:c r="H42" s="68" t="str"/>
      <x:c r="I42" s="68" t="str"/>
      <x:c r="J42" s="68" t="str"/>
      <x:c r="K42" s="68" t="str">
        <x:v>Not checked</x:v>
      </x:c>
      <x:c r="L42" s="68" t="str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5"/>
      <x:c r="AC42" s="65"/>
    </x:row>
    <x:row r="43" ht="30" customHeight="1">
      <x:c r="A43" s="68" t="n">
        <x:v>21</x:v>
      </x:c>
      <x:c r="B43" s="68" t="str">
        <x:v>Homeschool nature-journal and field-trip portfolio</x:v>
      </x:c>
      <x:c r="C43" s="68" t="str">
        <x:v>field trip log printable</x:v>
      </x:c>
      <x:c r="D43" s="68" t="str">
        <x:v>Alternate buyer wording; compare demand/competition with query 1.</x:v>
      </x:c>
      <x:c r="E43" s="68" t="str"/>
      <x:c r="F43" s="86" t="str"/>
      <x:c r="G43" s="86" t="str"/>
      <x:c r="H43" s="68" t="str"/>
      <x:c r="I43" s="68" t="str"/>
      <x:c r="J43" s="68" t="str"/>
      <x:c r="K43" s="68" t="str">
        <x:v>Not checked</x:v>
      </x:c>
      <x:c r="L43" s="68" t="str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</x:row>
    <x:row r="44" ht="30" customHeight="1">
      <x:c r="A44" s="68" t="n">
        <x:v>22</x:v>
      </x:c>
      <x:c r="B44" s="68" t="str">
        <x:v>City wildlife observation learning pack</x:v>
      </x:c>
      <x:c r="C44" s="68" t="str">
        <x:v>urban nature study</x:v>
      </x:c>
      <x:c r="D44" s="68" t="str">
        <x:v>Core long-tail phrase; check actual search and listing counts.</x:v>
      </x:c>
      <x:c r="E44" s="68" t="str"/>
      <x:c r="F44" s="86" t="str"/>
      <x:c r="G44" s="86" t="str"/>
      <x:c r="H44" s="68" t="str"/>
      <x:c r="I44" s="68" t="str"/>
      <x:c r="J44" s="68" t="str"/>
      <x:c r="K44" s="68" t="str">
        <x:v>Not checked</x:v>
      </x:c>
      <x:c r="L44" s="68" t="str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5"/>
      <x:c r="AC44" s="65"/>
    </x:row>
    <x:row r="45" ht="30" customHeight="1">
      <x:c r="A45" s="68" t="n">
        <x:v>22</x:v>
      </x:c>
      <x:c r="B45" s="68" t="str">
        <x:v>City wildlife observation learning pack</x:v>
      </x:c>
      <x:c r="C45" s="68" t="str">
        <x:v>wildlife journal kids</x:v>
      </x:c>
      <x:c r="D45" s="68" t="str">
        <x:v>Alternate buyer wording; compare demand/competition with query 1.</x:v>
      </x:c>
      <x:c r="E45" s="68" t="str"/>
      <x:c r="F45" s="86" t="str"/>
      <x:c r="G45" s="86" t="str"/>
      <x:c r="H45" s="68" t="str"/>
      <x:c r="I45" s="68" t="str"/>
      <x:c r="J45" s="68" t="str"/>
      <x:c r="K45" s="68" t="str">
        <x:v>Not checked</x:v>
      </x:c>
      <x:c r="L45" s="68" t="str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</x:row>
    <x:row r="46" ht="30" customHeight="1">
      <x:c r="A46" s="68" t="n">
        <x:v>23</x:v>
      </x:c>
      <x:c r="B46" s="68" t="str">
        <x:v>Low-friction school morning launch pad</x:v>
      </x:c>
      <x:c r="C46" s="68" t="str">
        <x:v>school morning routine</x:v>
      </x:c>
      <x:c r="D46" s="68" t="str">
        <x:v>Core long-tail phrase; check actual search and listing counts.</x:v>
      </x:c>
      <x:c r="E46" s="68" t="str"/>
      <x:c r="F46" s="86" t="str"/>
      <x:c r="G46" s="86" t="str"/>
      <x:c r="H46" s="68" t="str"/>
      <x:c r="I46" s="68" t="str"/>
      <x:c r="J46" s="68" t="str"/>
      <x:c r="K46" s="68" t="str">
        <x:v>Not checked</x:v>
      </x:c>
      <x:c r="L46" s="68" t="str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5"/>
      <x:c r="AC46" s="65"/>
    </x:row>
    <x:row r="47" ht="30" customHeight="1">
      <x:c r="A47" s="68" t="n">
        <x:v>23</x:v>
      </x:c>
      <x:c r="B47" s="68" t="str">
        <x:v>Low-friction school morning launch pad</x:v>
      </x:c>
      <x:c r="C47" s="68" t="str">
        <x:v>backpack checklist</x:v>
      </x:c>
      <x:c r="D47" s="68" t="str">
        <x:v>Alternate buyer wording; compare demand/competition with query 1.</x:v>
      </x:c>
      <x:c r="E47" s="68" t="str"/>
      <x:c r="F47" s="86" t="str"/>
      <x:c r="G47" s="86" t="str"/>
      <x:c r="H47" s="68" t="str"/>
      <x:c r="I47" s="68" t="str"/>
      <x:c r="J47" s="68" t="str"/>
      <x:c r="K47" s="68" t="str">
        <x:v>Not checked</x:v>
      </x:c>
      <x:c r="L47" s="68" t="str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5"/>
      <x:c r="AC47" s="65"/>
    </x:row>
    <x:row r="48" ht="30" customHeight="1">
      <x:c r="A48" s="68" t="n">
        <x:v>24</x:v>
      </x:c>
      <x:c r="B48" s="68" t="str">
        <x:v>Middle-school long-project manager</x:v>
      </x:c>
      <x:c r="C48" s="68" t="str">
        <x:v>school project planner</x:v>
      </x:c>
      <x:c r="D48" s="68" t="str">
        <x:v>Core long-tail phrase; check actual search and listing counts.</x:v>
      </x:c>
      <x:c r="E48" s="68" t="str"/>
      <x:c r="F48" s="86" t="str"/>
      <x:c r="G48" s="86" t="str"/>
      <x:c r="H48" s="68" t="str"/>
      <x:c r="I48" s="68" t="str"/>
      <x:c r="J48" s="68" t="str"/>
      <x:c r="K48" s="68" t="str">
        <x:v>Not checked</x:v>
      </x:c>
      <x:c r="L48" s="68" t="str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5"/>
      <x:c r="AC48" s="65"/>
    </x:row>
    <x:row r="49" ht="30" customHeight="1">
      <x:c r="A49" s="68" t="n">
        <x:v>24</x:v>
      </x:c>
      <x:c r="B49" s="68" t="str">
        <x:v>Middle-school long-project manager</x:v>
      </x:c>
      <x:c r="C49" s="68" t="str">
        <x:v>assignment milestone tracker</x:v>
      </x:c>
      <x:c r="D49" s="68" t="str">
        <x:v>Alternate buyer wording; compare demand/competition with query 1.</x:v>
      </x:c>
      <x:c r="E49" s="68" t="str"/>
      <x:c r="F49" s="86" t="str"/>
      <x:c r="G49" s="86" t="str"/>
      <x:c r="H49" s="68" t="str"/>
      <x:c r="I49" s="68" t="str"/>
      <x:c r="J49" s="68" t="str"/>
      <x:c r="K49" s="68" t="str">
        <x:v>Not checked</x:v>
      </x:c>
      <x:c r="L49" s="68" t="str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5"/>
      <x:c r="AC49" s="65"/>
    </x:row>
    <x:row r="50" ht="30" customHeight="1">
      <x:c r="A50" s="68" t="n">
        <x:v>25</x:v>
      </x:c>
      <x:c r="B50" s="68" t="str">
        <x:v>No-tech substitute teacher activity pack</x:v>
      </x:c>
      <x:c r="C50" s="68" t="str">
        <x:v>no tech sub plans</x:v>
      </x:c>
      <x:c r="D50" s="68" t="str">
        <x:v>Core long-tail phrase; check actual search and listing counts.</x:v>
      </x:c>
      <x:c r="E50" s="68" t="str"/>
      <x:c r="F50" s="86" t="str"/>
      <x:c r="G50" s="86" t="str"/>
      <x:c r="H50" s="68" t="str"/>
      <x:c r="I50" s="68" t="str"/>
      <x:c r="J50" s="68" t="str"/>
      <x:c r="K50" s="68" t="str">
        <x:v>Not checked</x:v>
      </x:c>
      <x:c r="L50" s="68" t="str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5"/>
      <x:c r="AC50" s="65"/>
    </x:row>
    <x:row r="51" ht="30" customHeight="1">
      <x:c r="A51" s="68" t="n">
        <x:v>25</x:v>
      </x:c>
      <x:c r="B51" s="68" t="str">
        <x:v>No-tech substitute teacher activity pack</x:v>
      </x:c>
      <x:c r="C51" s="68" t="str">
        <x:v>substitute teacher kit</x:v>
      </x:c>
      <x:c r="D51" s="68" t="str">
        <x:v>Alternate buyer wording; compare demand/competition with query 1.</x:v>
      </x:c>
      <x:c r="E51" s="68" t="str"/>
      <x:c r="F51" s="86" t="str"/>
      <x:c r="G51" s="86" t="str"/>
      <x:c r="H51" s="68" t="str"/>
      <x:c r="I51" s="68" t="str"/>
      <x:c r="J51" s="68" t="str"/>
      <x:c r="K51" s="68" t="str">
        <x:v>Not checked</x:v>
      </x:c>
      <x:c r="L51" s="68" t="str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5"/>
      <x:c r="AC51" s="65"/>
    </x:row>
    <x:row r="52" ht="30" customHeight="1">
      <x:c r="A52" s="68" t="n">
        <x:v>26</x:v>
      </x:c>
      <x:c r="B52" s="68" t="str">
        <x:v>Book-club membership and rotation manager</x:v>
      </x:c>
      <x:c r="C52" s="68" t="str">
        <x:v>book club spreadsheet</x:v>
      </x:c>
      <x:c r="D52" s="68" t="str">
        <x:v>Core long-tail phrase; check actual search and listing counts.</x:v>
      </x:c>
      <x:c r="E52" s="68" t="str"/>
      <x:c r="F52" s="86" t="str"/>
      <x:c r="G52" s="86" t="str"/>
      <x:c r="H52" s="68" t="str"/>
      <x:c r="I52" s="68" t="str"/>
      <x:c r="J52" s="68" t="str"/>
      <x:c r="K52" s="68" t="str">
        <x:v>Not checked</x:v>
      </x:c>
      <x:c r="L52" s="68" t="str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 ht="30" customHeight="1">
      <x:c r="A53" s="68" t="n">
        <x:v>26</x:v>
      </x:c>
      <x:c r="B53" s="68" t="str">
        <x:v>Book-club membership and rotation manager</x:v>
      </x:c>
      <x:c r="C53" s="68" t="str">
        <x:v>book club roster</x:v>
      </x:c>
      <x:c r="D53" s="68" t="str">
        <x:v>Alternate buyer wording; compare demand/competition with query 1.</x:v>
      </x:c>
      <x:c r="E53" s="68" t="str"/>
      <x:c r="F53" s="86" t="str"/>
      <x:c r="G53" s="86" t="str"/>
      <x:c r="H53" s="68" t="str"/>
      <x:c r="I53" s="68" t="str"/>
      <x:c r="J53" s="68" t="str"/>
      <x:c r="K53" s="68" t="str">
        <x:v>Not checked</x:v>
      </x:c>
      <x:c r="L53" s="68" t="str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 ht="30" customHeight="1">
      <x:c r="A54" s="68" t="n">
        <x:v>27</x:v>
      </x:c>
      <x:c r="B54" s="68" t="str">
        <x:v>System-agnostic tabletop RPG continuity binder</x:v>
      </x:c>
      <x:c r="C54" s="68" t="str">
        <x:v>rpg campaign binder</x:v>
      </x:c>
      <x:c r="D54" s="68" t="str">
        <x:v>Core long-tail phrase; check actual search and listing counts.</x:v>
      </x:c>
      <x:c r="E54" s="68" t="str"/>
      <x:c r="F54" s="86" t="str"/>
      <x:c r="G54" s="86" t="str"/>
      <x:c r="H54" s="68" t="str"/>
      <x:c r="I54" s="68" t="str"/>
      <x:c r="J54" s="68" t="str"/>
      <x:c r="K54" s="68" t="str">
        <x:v>Not checked</x:v>
      </x:c>
      <x:c r="L54" s="68" t="str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 ht="30" customHeight="1">
      <x:c r="A55" s="68" t="n">
        <x:v>27</x:v>
      </x:c>
      <x:c r="B55" s="68" t="str">
        <x:v>System-agnostic tabletop RPG continuity binder</x:v>
      </x:c>
      <x:c r="C55" s="68" t="str">
        <x:v>npc tracker printable</x:v>
      </x:c>
      <x:c r="D55" s="68" t="str">
        <x:v>Alternate buyer wording; compare demand/competition with query 1.</x:v>
      </x:c>
      <x:c r="E55" s="68" t="str"/>
      <x:c r="F55" s="86" t="str"/>
      <x:c r="G55" s="86" t="str"/>
      <x:c r="H55" s="68" t="str"/>
      <x:c r="I55" s="68" t="str"/>
      <x:c r="J55" s="68" t="str"/>
      <x:c r="K55" s="68" t="str">
        <x:v>Not checked</x:v>
      </x:c>
      <x:c r="L55" s="68" t="str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 ht="30" customHeight="1">
      <x:c r="A56" s="68" t="n">
        <x:v>28</x:v>
      </x:c>
      <x:c r="B56" s="68" t="str">
        <x:v>Original mystery dinner party game</x:v>
      </x:c>
      <x:c r="C56" s="68" t="str">
        <x:v>printable mystery game</x:v>
      </x:c>
      <x:c r="D56" s="68" t="str">
        <x:v>Core long-tail phrase; check actual search and listing counts.</x:v>
      </x:c>
      <x:c r="E56" s="68" t="str"/>
      <x:c r="F56" s="86" t="str"/>
      <x:c r="G56" s="86" t="str"/>
      <x:c r="H56" s="68" t="str"/>
      <x:c r="I56" s="68" t="str"/>
      <x:c r="J56" s="68" t="str"/>
      <x:c r="K56" s="68" t="str">
        <x:v>Not checked</x:v>
      </x:c>
      <x:c r="L56" s="68" t="str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 ht="30" customHeight="1">
      <x:c r="A57" s="68" t="n">
        <x:v>28</x:v>
      </x:c>
      <x:c r="B57" s="68" t="str">
        <x:v>Original mystery dinner party game</x:v>
      </x:c>
      <x:c r="C57" s="68" t="str">
        <x:v>dinner party game</x:v>
      </x:c>
      <x:c r="D57" s="68" t="str">
        <x:v>Alternate buyer wording; compare demand/competition with query 1.</x:v>
      </x:c>
      <x:c r="E57" s="68" t="str"/>
      <x:c r="F57" s="86" t="str"/>
      <x:c r="G57" s="86" t="str"/>
      <x:c r="H57" s="68" t="str"/>
      <x:c r="I57" s="68" t="str"/>
      <x:c r="J57" s="68" t="str"/>
      <x:c r="K57" s="68" t="str">
        <x:v>Not checked</x:v>
      </x:c>
      <x:c r="L57" s="68" t="str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 ht="30" customHeight="1">
      <x:c r="A58" s="68" t="n">
        <x:v>29</x:v>
      </x:c>
      <x:c r="B58" s="68" t="str">
        <x:v>Beginner sewing fit and alteration journal</x:v>
      </x:c>
      <x:c r="C58" s="68" t="str">
        <x:v>sewing fit journal</x:v>
      </x:c>
      <x:c r="D58" s="68" t="str">
        <x:v>Core long-tail phrase; check actual search and listing counts.</x:v>
      </x:c>
      <x:c r="E58" s="68" t="str"/>
      <x:c r="F58" s="86" t="str"/>
      <x:c r="G58" s="86" t="str"/>
      <x:c r="H58" s="68" t="str"/>
      <x:c r="I58" s="68" t="str"/>
      <x:c r="J58" s="68" t="str"/>
      <x:c r="K58" s="68" t="str">
        <x:v>Not checked</x:v>
      </x:c>
      <x:c r="L58" s="68" t="str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 ht="30" customHeight="1">
      <x:c r="A59" s="68" t="n">
        <x:v>29</x:v>
      </x:c>
      <x:c r="B59" s="68" t="str">
        <x:v>Beginner sewing fit and alteration journal</x:v>
      </x:c>
      <x:c r="C59" s="68" t="str">
        <x:v>pattern alteration log</x:v>
      </x:c>
      <x:c r="D59" s="68" t="str">
        <x:v>Alternate buyer wording; compare demand/competition with query 1.</x:v>
      </x:c>
      <x:c r="E59" s="68" t="str"/>
      <x:c r="F59" s="86" t="str"/>
      <x:c r="G59" s="86" t="str"/>
      <x:c r="H59" s="68" t="str"/>
      <x:c r="I59" s="68" t="str"/>
      <x:c r="J59" s="68" t="str"/>
      <x:c r="K59" s="68" t="str">
        <x:v>Not checked</x:v>
      </x:c>
      <x:c r="L59" s="68" t="str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 ht="30" customHeight="1">
      <x:c r="A60" s="68" t="n">
        <x:v>30</x:v>
      </x:c>
      <x:c r="B60" s="68" t="str">
        <x:v>Community garden coordinator toolkit</x:v>
      </x:c>
      <x:c r="C60" s="68" t="str">
        <x:v>community garden organizer</x:v>
      </x:c>
      <x:c r="D60" s="68" t="str">
        <x:v>Core long-tail phrase; check actual search and listing counts.</x:v>
      </x:c>
      <x:c r="E60" s="68" t="str"/>
      <x:c r="F60" s="86" t="str"/>
      <x:c r="G60" s="86" t="str"/>
      <x:c r="H60" s="68" t="str"/>
      <x:c r="I60" s="68" t="str"/>
      <x:c r="J60" s="68" t="str"/>
      <x:c r="K60" s="68" t="str">
        <x:v>Not checked</x:v>
      </x:c>
      <x:c r="L60" s="68" t="str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 ht="30" customHeight="1">
      <x:c r="A61" s="68" t="n">
        <x:v>30</x:v>
      </x:c>
      <x:c r="B61" s="68" t="str">
        <x:v>Community garden coordinator toolkit</x:v>
      </x:c>
      <x:c r="C61" s="68" t="str">
        <x:v>garden volunteer rota</x:v>
      </x:c>
      <x:c r="D61" s="68" t="str">
        <x:v>Alternate buyer wording; compare demand/competition with query 1.</x:v>
      </x:c>
      <x:c r="E61" s="68" t="str"/>
      <x:c r="F61" s="86" t="str"/>
      <x:c r="G61" s="86" t="str"/>
      <x:c r="H61" s="68" t="str"/>
      <x:c r="I61" s="68" t="str"/>
      <x:c r="J61" s="68" t="str"/>
      <x:c r="K61" s="68" t="str">
        <x:v>Not checked</x:v>
      </x:c>
      <x:c r="L61" s="68" t="str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 ht="30" customHeight="1">
      <x:c r="A62" s="68" t="n">
        <x:v>31</x:v>
      </x:c>
      <x:c r="B62" s="68" t="str">
        <x:v>Climate-zone balcony food garden planner</x:v>
      </x:c>
      <x:c r="C62" s="68" t="str">
        <x:v>balcony garden planner</x:v>
      </x:c>
      <x:c r="D62" s="68" t="str">
        <x:v>Core long-tail phrase; check actual search and listing counts.</x:v>
      </x:c>
      <x:c r="E62" s="68" t="str"/>
      <x:c r="F62" s="86" t="str"/>
      <x:c r="G62" s="86" t="str"/>
      <x:c r="H62" s="68" t="str"/>
      <x:c r="I62" s="68" t="str"/>
      <x:c r="J62" s="68" t="str"/>
      <x:c r="K62" s="68" t="str">
        <x:v>Not checked</x:v>
      </x:c>
      <x:c r="L62" s="68" t="str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 ht="30" customHeight="1">
      <x:c r="A63" s="68" t="n">
        <x:v>31</x:v>
      </x:c>
      <x:c r="B63" s="68" t="str">
        <x:v>Climate-zone balcony food garden planner</x:v>
      </x:c>
      <x:c r="C63" s="68" t="str">
        <x:v>container garden log</x:v>
      </x:c>
      <x:c r="D63" s="68" t="str">
        <x:v>Alternate buyer wording; compare demand/competition with query 1.</x:v>
      </x:c>
      <x:c r="E63" s="68" t="str"/>
      <x:c r="F63" s="86" t="str"/>
      <x:c r="G63" s="86" t="str"/>
      <x:c r="H63" s="68" t="str"/>
      <x:c r="I63" s="68" t="str"/>
      <x:c r="J63" s="68" t="str"/>
      <x:c r="K63" s="68" t="str">
        <x:v>Not checked</x:v>
      </x:c>
      <x:c r="L63" s="68" t="str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 ht="30" customHeight="1">
      <x:c r="A64" s="68" t="n">
        <x:v>32</x:v>
      </x:c>
      <x:c r="B64" s="68" t="str">
        <x:v>Houseplant sitter handover cards for collections</x:v>
      </x:c>
      <x:c r="C64" s="68" t="str">
        <x:v>houseplant sitter</x:v>
      </x:c>
      <x:c r="D64" s="68" t="str">
        <x:v>Core long-tail phrase; check actual search and listing counts.</x:v>
      </x:c>
      <x:c r="E64" s="68" t="str"/>
      <x:c r="F64" s="86" t="str"/>
      <x:c r="G64" s="86" t="str"/>
      <x:c r="H64" s="68" t="str"/>
      <x:c r="I64" s="68" t="str"/>
      <x:c r="J64" s="68" t="str"/>
      <x:c r="K64" s="68" t="str">
        <x:v>Not checked</x:v>
      </x:c>
      <x:c r="L64" s="68" t="str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 ht="30" customHeight="1">
      <x:c r="A65" s="68" t="n">
        <x:v>32</x:v>
      </x:c>
      <x:c r="B65" s="68" t="str">
        <x:v>Houseplant sitter handover cards for collections</x:v>
      </x:c>
      <x:c r="C65" s="68" t="str">
        <x:v>vacation plant care</x:v>
      </x:c>
      <x:c r="D65" s="68" t="str">
        <x:v>Alternate buyer wording; compare demand/competition with query 1.</x:v>
      </x:c>
      <x:c r="E65" s="68" t="str"/>
      <x:c r="F65" s="86" t="str"/>
      <x:c r="G65" s="86" t="str"/>
      <x:c r="H65" s="68" t="str"/>
      <x:c r="I65" s="68" t="str"/>
      <x:c r="J65" s="68" t="str"/>
      <x:c r="K65" s="68" t="str">
        <x:v>Not checked</x:v>
      </x:c>
      <x:c r="L65" s="68" t="str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 ht="30" customHeight="1">
      <x:c r="A66" s="68" t="n">
        <x:v>33</x:v>
      </x:c>
      <x:c r="B66" s="68" t="str">
        <x:v>Worm-farm and compost troubleshooting journal</x:v>
      </x:c>
      <x:c r="C66" s="68" t="str">
        <x:v>worm farm log</x:v>
      </x:c>
      <x:c r="D66" s="68" t="str">
        <x:v>Core long-tail phrase; check actual search and listing counts.</x:v>
      </x:c>
      <x:c r="E66" s="68" t="str"/>
      <x:c r="F66" s="86" t="str"/>
      <x:c r="G66" s="86" t="str"/>
      <x:c r="H66" s="68" t="str"/>
      <x:c r="I66" s="68" t="str"/>
      <x:c r="J66" s="68" t="str"/>
      <x:c r="K66" s="68" t="str">
        <x:v>Not checked</x:v>
      </x:c>
      <x:c r="L66" s="68" t="str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 ht="30" customHeight="1">
      <x:c r="A67" s="68" t="n">
        <x:v>33</x:v>
      </x:c>
      <x:c r="B67" s="68" t="str">
        <x:v>Worm-farm and compost troubleshooting journal</x:v>
      </x:c>
      <x:c r="C67" s="68" t="str">
        <x:v>compost tracker</x:v>
      </x:c>
      <x:c r="D67" s="68" t="str">
        <x:v>Alternate buyer wording; compare demand/competition with query 1.</x:v>
      </x:c>
      <x:c r="E67" s="68" t="str"/>
      <x:c r="F67" s="86" t="str"/>
      <x:c r="G67" s="86" t="str"/>
      <x:c r="H67" s="68" t="str"/>
      <x:c r="I67" s="68" t="str"/>
      <x:c r="J67" s="68" t="str"/>
      <x:c r="K67" s="68" t="str">
        <x:v>Not checked</x:v>
      </x:c>
      <x:c r="L67" s="68" t="str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 ht="30" customHeight="1">
      <x:c r="A68" s="68" t="n">
        <x:v>34</x:v>
      </x:c>
      <x:c r="B68" s="68" t="str">
        <x:v>Quilter's scrap inventory and project cost workbook</x:v>
      </x:c>
      <x:c r="C68" s="68" t="str">
        <x:v>quilting stash tracker</x:v>
      </x:c>
      <x:c r="D68" s="68" t="str">
        <x:v>Core long-tail phrase; check actual search and listing counts.</x:v>
      </x:c>
      <x:c r="E68" s="68" t="str"/>
      <x:c r="F68" s="86" t="str"/>
      <x:c r="G68" s="86" t="str"/>
      <x:c r="H68" s="68" t="str"/>
      <x:c r="I68" s="68" t="str"/>
      <x:c r="J68" s="68" t="str"/>
      <x:c r="K68" s="68" t="str">
        <x:v>Not checked</x:v>
      </x:c>
      <x:c r="L68" s="68" t="str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 ht="30" customHeight="1">
      <x:c r="A69" s="68" t="n">
        <x:v>34</x:v>
      </x:c>
      <x:c r="B69" s="68" t="str">
        <x:v>Quilter's scrap inventory and project cost workbook</x:v>
      </x:c>
      <x:c r="C69" s="68" t="str">
        <x:v>fabric inventory sheet</x:v>
      </x:c>
      <x:c r="D69" s="68" t="str">
        <x:v>Alternate buyer wording; compare demand/competition with query 1.</x:v>
      </x:c>
      <x:c r="E69" s="68" t="str"/>
      <x:c r="F69" s="86" t="str"/>
      <x:c r="G69" s="86" t="str"/>
      <x:c r="H69" s="68" t="str"/>
      <x:c r="I69" s="68" t="str"/>
      <x:c r="J69" s="68" t="str"/>
      <x:c r="K69" s="68" t="str">
        <x:v>Not checked</x:v>
      </x:c>
      <x:c r="L69" s="68" t="str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 ht="30" customHeight="1">
      <x:c r="A70" s="68" t="n">
        <x:v>35</x:v>
      </x:c>
      <x:c r="B70" s="68" t="str">
        <x:v>Craft fair seller stock and restock dashboard</x:v>
      </x:c>
      <x:c r="C70" s="68" t="str">
        <x:v>craft fair planner</x:v>
      </x:c>
      <x:c r="D70" s="68" t="str">
        <x:v>Core long-tail phrase; check actual search and listing counts.</x:v>
      </x:c>
      <x:c r="E70" s="68" t="str"/>
      <x:c r="F70" s="86" t="str"/>
      <x:c r="G70" s="86" t="str"/>
      <x:c r="H70" s="68" t="str"/>
      <x:c r="I70" s="68" t="str"/>
      <x:c r="J70" s="68" t="str"/>
      <x:c r="K70" s="68" t="str">
        <x:v>Not checked</x:v>
      </x:c>
      <x:c r="L70" s="68" t="str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 ht="30" customHeight="1">
      <x:c r="A71" s="68" t="n">
        <x:v>35</x:v>
      </x:c>
      <x:c r="B71" s="68" t="str">
        <x:v>Craft fair seller stock and restock dashboard</x:v>
      </x:c>
      <x:c r="C71" s="68" t="str">
        <x:v>market vendor inventory</x:v>
      </x:c>
      <x:c r="D71" s="68" t="str">
        <x:v>Alternate buyer wording; compare demand/competition with query 1.</x:v>
      </x:c>
      <x:c r="E71" s="68" t="str"/>
      <x:c r="F71" s="86" t="str"/>
      <x:c r="G71" s="86" t="str"/>
      <x:c r="H71" s="68" t="str"/>
      <x:c r="I71" s="68" t="str"/>
      <x:c r="J71" s="68" t="str"/>
      <x:c r="K71" s="68" t="str">
        <x:v>Not checked</x:v>
      </x:c>
      <x:c r="L71" s="68" t="str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 ht="30" customHeight="1">
      <x:c r="A72" s="68" t="n">
        <x:v>36</x:v>
      </x:c>
      <x:c r="B72" s="68" t="str">
        <x:v>Private music teacher studio operations kit</x:v>
      </x:c>
      <x:c r="C72" s="68" t="str">
        <x:v>music teacher forms</x:v>
      </x:c>
      <x:c r="D72" s="68" t="str">
        <x:v>Core long-tail phrase; check actual search and listing counts.</x:v>
      </x:c>
      <x:c r="E72" s="68" t="str"/>
      <x:c r="F72" s="86" t="str"/>
      <x:c r="G72" s="86" t="str"/>
      <x:c r="H72" s="68" t="str"/>
      <x:c r="I72" s="68" t="str"/>
      <x:c r="J72" s="68" t="str"/>
      <x:c r="K72" s="68" t="str">
        <x:v>Not checked</x:v>
      </x:c>
      <x:c r="L72" s="68" t="str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 ht="30" customHeight="1">
      <x:c r="A73" s="68" t="n">
        <x:v>36</x:v>
      </x:c>
      <x:c r="B73" s="68" t="str">
        <x:v>Private music teacher studio operations kit</x:v>
      </x:c>
      <x:c r="C73" s="68" t="str">
        <x:v>piano lesson tracker</x:v>
      </x:c>
      <x:c r="D73" s="68" t="str">
        <x:v>Alternate buyer wording; compare demand/competition with query 1.</x:v>
      </x:c>
      <x:c r="E73" s="68" t="str"/>
      <x:c r="F73" s="86" t="str"/>
      <x:c r="G73" s="86" t="str"/>
      <x:c r="H73" s="68" t="str"/>
      <x:c r="I73" s="68" t="str"/>
      <x:c r="J73" s="68" t="str"/>
      <x:c r="K73" s="68" t="str">
        <x:v>Not checked</x:v>
      </x:c>
      <x:c r="L73" s="68" t="str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 ht="30" customHeight="1">
      <x:c r="A74" s="68" t="n">
        <x:v>37</x:v>
      </x:c>
      <x:c r="B74" s="68" t="str">
        <x:v>Podcast guest onboarding and episode production kit</x:v>
      </x:c>
      <x:c r="C74" s="68" t="str">
        <x:v>podcast guest workflow</x:v>
      </x:c>
      <x:c r="D74" s="68" t="str">
        <x:v>Core long-tail phrase; check actual search and listing counts.</x:v>
      </x:c>
      <x:c r="E74" s="68" t="str"/>
      <x:c r="F74" s="86" t="str"/>
      <x:c r="G74" s="86" t="str"/>
      <x:c r="H74" s="68" t="str"/>
      <x:c r="I74" s="68" t="str"/>
      <x:c r="J74" s="68" t="str"/>
      <x:c r="K74" s="68" t="str">
        <x:v>Not checked</x:v>
      </x:c>
      <x:c r="L74" s="68" t="str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 ht="30" customHeight="1">
      <x:c r="A75" s="68" t="n">
        <x:v>37</x:v>
      </x:c>
      <x:c r="B75" s="68" t="str">
        <x:v>Podcast guest onboarding and episode production kit</x:v>
      </x:c>
      <x:c r="C75" s="68" t="str">
        <x:v>podcast episode tracker</x:v>
      </x:c>
      <x:c r="D75" s="68" t="str">
        <x:v>Alternate buyer wording; compare demand/competition with query 1.</x:v>
      </x:c>
      <x:c r="E75" s="68" t="str"/>
      <x:c r="F75" s="86" t="str"/>
      <x:c r="G75" s="86" t="str"/>
      <x:c r="H75" s="68" t="str"/>
      <x:c r="I75" s="68" t="str"/>
      <x:c r="J75" s="68" t="str"/>
      <x:c r="K75" s="68" t="str">
        <x:v>Not checked</x:v>
      </x:c>
      <x:c r="L75" s="68" t="str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 ht="30" customHeight="1">
      <x:c r="A76" s="68" t="n">
        <x:v>38</x:v>
      </x:c>
      <x:c r="B76" s="68" t="str">
        <x:v>Handyman job scope and photo handover pack</x:v>
      </x:c>
      <x:c r="C76" s="68" t="str">
        <x:v>handyman job tracker</x:v>
      </x:c>
      <x:c r="D76" s="68" t="str">
        <x:v>Core long-tail phrase; check actual search and listing counts.</x:v>
      </x:c>
      <x:c r="E76" s="68" t="str"/>
      <x:c r="F76" s="86" t="str"/>
      <x:c r="G76" s="86" t="str"/>
      <x:c r="H76" s="68" t="str"/>
      <x:c r="I76" s="68" t="str"/>
      <x:c r="J76" s="68" t="str"/>
      <x:c r="K76" s="68" t="str">
        <x:v>Not checked</x:v>
      </x:c>
      <x:c r="L76" s="68" t="str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 ht="30" customHeight="1">
      <x:c r="A77" s="68" t="n">
        <x:v>38</x:v>
      </x:c>
      <x:c r="B77" s="68" t="str">
        <x:v>Handyman job scope and photo handover pack</x:v>
      </x:c>
      <x:c r="C77" s="68" t="str">
        <x:v>job photo log</x:v>
      </x:c>
      <x:c r="D77" s="68" t="str">
        <x:v>Alternate buyer wording; compare demand/competition with query 1.</x:v>
      </x:c>
      <x:c r="E77" s="68" t="str"/>
      <x:c r="F77" s="86" t="str"/>
      <x:c r="G77" s="86" t="str"/>
      <x:c r="H77" s="68" t="str"/>
      <x:c r="I77" s="68" t="str"/>
      <x:c r="J77" s="68" t="str"/>
      <x:c r="K77" s="68" t="str">
        <x:v>Not checked</x:v>
      </x:c>
      <x:c r="L77" s="68" t="str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 ht="30" customHeight="1">
      <x:c r="A78" s="68" t="n">
        <x:v>39</x:v>
      </x:c>
      <x:c r="B78" s="68" t="str">
        <x:v>Downsizing-with-parents decision and memory kit</x:v>
      </x:c>
      <x:c r="C78" s="68" t="str">
        <x:v>downsizing planner</x:v>
      </x:c>
      <x:c r="D78" s="68" t="str">
        <x:v>Core long-tail phrase; check actual search and listing counts.</x:v>
      </x:c>
      <x:c r="E78" s="68" t="str"/>
      <x:c r="F78" s="86" t="str"/>
      <x:c r="G78" s="86" t="str"/>
      <x:c r="H78" s="68" t="str"/>
      <x:c r="I78" s="68" t="str"/>
      <x:c r="J78" s="68" t="str"/>
      <x:c r="K78" s="68" t="str">
        <x:v>Not checked</x:v>
      </x:c>
      <x:c r="L78" s="68" t="str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 ht="30" customHeight="1">
      <x:c r="A79" s="68" t="n">
        <x:v>39</x:v>
      </x:c>
      <x:c r="B79" s="68" t="str">
        <x:v>Downsizing-with-parents decision and memory kit</x:v>
      </x:c>
      <x:c r="C79" s="68" t="str">
        <x:v>senior move checklist</x:v>
      </x:c>
      <x:c r="D79" s="68" t="str">
        <x:v>Alternate buyer wording; compare demand/competition with query 1.</x:v>
      </x:c>
      <x:c r="E79" s="68" t="str"/>
      <x:c r="F79" s="86" t="str"/>
      <x:c r="G79" s="86" t="str"/>
      <x:c r="H79" s="68" t="str"/>
      <x:c r="I79" s="68" t="str"/>
      <x:c r="J79" s="68" t="str"/>
      <x:c r="K79" s="68" t="str">
        <x:v>Not checked</x:v>
      </x:c>
      <x:c r="L79" s="68" t="str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 ht="30" customHeight="1">
      <x:c r="A80" s="68" t="n">
        <x:v>40</x:v>
      </x:c>
      <x:c r="B80" s="68" t="str">
        <x:v>Small-landlord maintenance request and handoff log</x:v>
      </x:c>
      <x:c r="C80" s="68" t="str">
        <x:v>landlord maintenance log</x:v>
      </x:c>
      <x:c r="D80" s="68" t="str">
        <x:v>Core long-tail phrase; check actual search and listing counts.</x:v>
      </x:c>
      <x:c r="E80" s="68" t="str"/>
      <x:c r="F80" s="86" t="str"/>
      <x:c r="G80" s="86" t="str"/>
      <x:c r="H80" s="68" t="str"/>
      <x:c r="I80" s="68" t="str"/>
      <x:c r="J80" s="68" t="str"/>
      <x:c r="K80" s="68" t="str">
        <x:v>Not checked</x:v>
      </x:c>
      <x:c r="L80" s="68" t="str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 ht="30" customHeight="1">
      <x:c r="A81" s="68" t="n">
        <x:v>40</x:v>
      </x:c>
      <x:c r="B81" s="68" t="str">
        <x:v>Small-landlord maintenance request and handoff log</x:v>
      </x:c>
      <x:c r="C81" s="68" t="str">
        <x:v>rental repair tracker</x:v>
      </x:c>
      <x:c r="D81" s="68" t="str">
        <x:v>Alternate buyer wording; compare demand/competition with query 1.</x:v>
      </x:c>
      <x:c r="E81" s="68" t="str"/>
      <x:c r="F81" s="86" t="str"/>
      <x:c r="G81" s="86" t="str"/>
      <x:c r="H81" s="68" t="str"/>
      <x:c r="I81" s="68" t="str"/>
      <x:c r="J81" s="68" t="str"/>
      <x:c r="K81" s="68" t="str">
        <x:v>Not checked</x:v>
      </x:c>
      <x:c r="L81" s="68" t="str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 ht="30" customHeight="1">
      <x:c r="A82" s="68" t="n">
        <x:v>41</x:v>
      </x:c>
      <x:c r="B82" s="68" t="str">
        <x:v>Accessible multi-generational scavenger hunt pack</x:v>
      </x:c>
      <x:c r="C82" s="68" t="str">
        <x:v>family scavenger hunt</x:v>
      </x:c>
      <x:c r="D82" s="68" t="str">
        <x:v>Core long-tail phrase; check actual search and listing counts.</x:v>
      </x:c>
      <x:c r="E82" s="68" t="str"/>
      <x:c r="F82" s="86" t="str"/>
      <x:c r="G82" s="86" t="str"/>
      <x:c r="H82" s="68" t="str"/>
      <x:c r="I82" s="68" t="str"/>
      <x:c r="J82" s="68" t="str"/>
      <x:c r="K82" s="68" t="str">
        <x:v>Not checked</x:v>
      </x:c>
      <x:c r="L82" s="68" t="str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 ht="30" customHeight="1">
      <x:c r="A83" s="68" t="n">
        <x:v>41</x:v>
      </x:c>
      <x:c r="B83" s="68" t="str">
        <x:v>Accessible multi-generational scavenger hunt pack</x:v>
      </x:c>
      <x:c r="C83" s="68" t="str">
        <x:v>accessible group games</x:v>
      </x:c>
      <x:c r="D83" s="68" t="str">
        <x:v>Alternate buyer wording; compare demand/competition with query 1.</x:v>
      </x:c>
      <x:c r="E83" s="68" t="str"/>
      <x:c r="F83" s="86" t="str"/>
      <x:c r="G83" s="86" t="str"/>
      <x:c r="H83" s="68" t="str"/>
      <x:c r="I83" s="68" t="str"/>
      <x:c r="J83" s="68" t="str"/>
      <x:c r="K83" s="68" t="str">
        <x:v>Not checked</x:v>
      </x:c>
      <x:c r="L83" s="68" t="str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 ht="30" customHeight="1">
      <x:c r="A84" s="68" t="n">
        <x:v>42</x:v>
      </x:c>
      <x:c r="B84" s="68" t="str">
        <x:v>Miniature-painting project and paint recipe journal</x:v>
      </x:c>
      <x:c r="C84" s="68" t="str">
        <x:v>miniature painting log</x:v>
      </x:c>
      <x:c r="D84" s="68" t="str">
        <x:v>Core long-tail phrase; check actual search and listing counts.</x:v>
      </x:c>
      <x:c r="E84" s="68" t="str"/>
      <x:c r="F84" s="86" t="str"/>
      <x:c r="G84" s="86" t="str"/>
      <x:c r="H84" s="68" t="str"/>
      <x:c r="I84" s="68" t="str"/>
      <x:c r="J84" s="68" t="str"/>
      <x:c r="K84" s="68" t="str">
        <x:v>Not checked</x:v>
      </x:c>
      <x:c r="L84" s="68" t="str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 ht="30" customHeight="1">
      <x:c r="A85" s="68" t="n">
        <x:v>42</x:v>
      </x:c>
      <x:c r="B85" s="68" t="str">
        <x:v>Miniature-painting project and paint recipe journal</x:v>
      </x:c>
      <x:c r="C85" s="68" t="str">
        <x:v>paint recipe journal</x:v>
      </x:c>
      <x:c r="D85" s="68" t="str">
        <x:v>Alternate buyer wording; compare demand/competition with query 1.</x:v>
      </x:c>
      <x:c r="E85" s="68" t="str"/>
      <x:c r="F85" s="86" t="str"/>
      <x:c r="G85" s="86" t="str"/>
      <x:c r="H85" s="68" t="str"/>
      <x:c r="I85" s="68" t="str"/>
      <x:c r="J85" s="68" t="str"/>
      <x:c r="K85" s="68" t="str">
        <x:v>Not checked</x:v>
      </x:c>
      <x:c r="L85" s="68" t="str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 ht="30" customHeight="1">
      <x:c r="A86" s="68" t="n">
        <x:v>43</x:v>
      </x:c>
      <x:c r="B86" s="68" t="str">
        <x:v>Independent creator digital asset register</x:v>
      </x:c>
      <x:c r="C86" s="68" t="str">
        <x:v>digital product tracker</x:v>
      </x:c>
      <x:c r="D86" s="68" t="str">
        <x:v>Core long-tail phrase; check actual search and listing counts.</x:v>
      </x:c>
      <x:c r="E86" s="68" t="str"/>
      <x:c r="F86" s="86" t="str"/>
      <x:c r="G86" s="86" t="str"/>
      <x:c r="H86" s="68" t="str"/>
      <x:c r="I86" s="68" t="str"/>
      <x:c r="J86" s="68" t="str"/>
      <x:c r="K86" s="68" t="str">
        <x:v>Not checked</x:v>
      </x:c>
      <x:c r="L86" s="68" t="str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 ht="30" customHeight="1">
      <x:c r="A87" s="68" t="n">
        <x:v>43</x:v>
      </x:c>
      <x:c r="B87" s="68" t="str">
        <x:v>Independent creator digital asset register</x:v>
      </x:c>
      <x:c r="C87" s="68" t="str">
        <x:v>Etsy listing inventory</x:v>
      </x:c>
      <x:c r="D87" s="68" t="str">
        <x:v>Alternate buyer wording; compare demand/competition with query 1.</x:v>
      </x:c>
      <x:c r="E87" s="68" t="str"/>
      <x:c r="F87" s="86" t="str"/>
      <x:c r="G87" s="86" t="str"/>
      <x:c r="H87" s="68" t="str"/>
      <x:c r="I87" s="68" t="str"/>
      <x:c r="J87" s="68" t="str"/>
      <x:c r="K87" s="68" t="str">
        <x:v>Not checked</x:v>
      </x:c>
      <x:c r="L87" s="68" t="str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 ht="30" customHeight="1">
      <x:c r="A88" s="68" t="n">
        <x:v>44</x:v>
      </x:c>
      <x:c r="B88" s="68" t="str">
        <x:v>Etsy listing photography shot-plan workbook</x:v>
      </x:c>
      <x:c r="C88" s="68" t="str">
        <x:v>Etsy listing photo planner</x:v>
      </x:c>
      <x:c r="D88" s="68" t="str">
        <x:v>Core long-tail phrase; check actual search and listing counts.</x:v>
      </x:c>
      <x:c r="E88" s="68" t="str"/>
      <x:c r="F88" s="86" t="str"/>
      <x:c r="G88" s="86" t="str"/>
      <x:c r="H88" s="68" t="str"/>
      <x:c r="I88" s="68" t="str"/>
      <x:c r="J88" s="68" t="str"/>
      <x:c r="K88" s="68" t="str">
        <x:v>Not checked</x:v>
      </x:c>
      <x:c r="L88" s="68" t="str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 ht="30" customHeight="1">
      <x:c r="A89" s="68" t="n">
        <x:v>44</x:v>
      </x:c>
      <x:c r="B89" s="68" t="str">
        <x:v>Etsy listing photography shot-plan workbook</x:v>
      </x:c>
      <x:c r="C89" s="68" t="str">
        <x:v>digital product mockup</x:v>
      </x:c>
      <x:c r="D89" s="68" t="str">
        <x:v>Alternate buyer wording; compare demand/competition with query 1.</x:v>
      </x:c>
      <x:c r="E89" s="68" t="str"/>
      <x:c r="F89" s="86" t="str"/>
      <x:c r="G89" s="86" t="str"/>
      <x:c r="H89" s="68" t="str"/>
      <x:c r="I89" s="68" t="str"/>
      <x:c r="J89" s="68" t="str"/>
      <x:c r="K89" s="68" t="str">
        <x:v>Not checked</x:v>
      </x:c>
      <x:c r="L89" s="68" t="str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 ht="30" customHeight="1">
      <x:c r="A90" s="68" t="n">
        <x:v>45</x:v>
      </x:c>
      <x:c r="B90" s="68" t="str">
        <x:v>Private tutor progress and parent update kit</x:v>
      </x:c>
      <x:c r="C90" s="68" t="str">
        <x:v>tutor progress tracker</x:v>
      </x:c>
      <x:c r="D90" s="68" t="str">
        <x:v>Core long-tail phrase; check actual search and listing counts.</x:v>
      </x:c>
      <x:c r="E90" s="68" t="str"/>
      <x:c r="F90" s="86" t="str"/>
      <x:c r="G90" s="86" t="str"/>
      <x:c r="H90" s="68" t="str"/>
      <x:c r="I90" s="68" t="str"/>
      <x:c r="J90" s="68" t="str"/>
      <x:c r="K90" s="68" t="str">
        <x:v>Not checked</x:v>
      </x:c>
      <x:c r="L90" s="68" t="str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 ht="30" customHeight="1">
      <x:c r="A91" s="68" t="n">
        <x:v>45</x:v>
      </x:c>
      <x:c r="B91" s="68" t="str">
        <x:v>Private tutor progress and parent update kit</x:v>
      </x:c>
      <x:c r="C91" s="68" t="str">
        <x:v>lesson notes template</x:v>
      </x:c>
      <x:c r="D91" s="68" t="str">
        <x:v>Alternate buyer wording; compare demand/competition with query 1.</x:v>
      </x:c>
      <x:c r="E91" s="68" t="str"/>
      <x:c r="F91" s="86" t="str"/>
      <x:c r="G91" s="86" t="str"/>
      <x:c r="H91" s="68" t="str"/>
      <x:c r="I91" s="68" t="str"/>
      <x:c r="J91" s="68" t="str"/>
      <x:c r="K91" s="68" t="str">
        <x:v>Not checked</x:v>
      </x:c>
      <x:c r="L91" s="68" t="str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 ht="30" customHeight="1">
      <x:c r="A92" s="68" t="n">
        <x:v>46</x:v>
      </x:c>
      <x:c r="B92" s="68" t="str">
        <x:v>RV season-start, trip and maintenance readiness kit</x:v>
      </x:c>
      <x:c r="C92" s="68" t="str">
        <x:v>RV maintenance log</x:v>
      </x:c>
      <x:c r="D92" s="68" t="str">
        <x:v>Core long-tail phrase; check actual search and listing counts.</x:v>
      </x:c>
      <x:c r="E92" s="68" t="str"/>
      <x:c r="F92" s="86" t="str"/>
      <x:c r="G92" s="86" t="str"/>
      <x:c r="H92" s="68" t="str"/>
      <x:c r="I92" s="68" t="str"/>
      <x:c r="J92" s="68" t="str"/>
      <x:c r="K92" s="68" t="str">
        <x:v>Not checked</x:v>
      </x:c>
      <x:c r="L92" s="68" t="str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 ht="30" customHeight="1">
      <x:c r="A93" s="68" t="n">
        <x:v>46</x:v>
      </x:c>
      <x:c r="B93" s="68" t="str">
        <x:v>RV season-start, trip and maintenance readiness kit</x:v>
      </x:c>
      <x:c r="C93" s="68" t="str">
        <x:v>camper trip checklist</x:v>
      </x:c>
      <x:c r="D93" s="68" t="str">
        <x:v>Alternate buyer wording; compare demand/competition with query 1.</x:v>
      </x:c>
      <x:c r="E93" s="68" t="str"/>
      <x:c r="F93" s="86" t="str"/>
      <x:c r="G93" s="86" t="str"/>
      <x:c r="H93" s="68" t="str"/>
      <x:c r="I93" s="68" t="str"/>
      <x:c r="J93" s="68" t="str"/>
      <x:c r="K93" s="68" t="str">
        <x:v>Not checked</x:v>
      </x:c>
      <x:c r="L93" s="68" t="str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 ht="30" customHeight="1">
      <x:c r="A94" s="68" t="n">
        <x:v>47</x:v>
      </x:c>
      <x:c r="B94" s="68" t="str">
        <x:v>Mobile mechanic customer-ready vehicle report</x:v>
      </x:c>
      <x:c r="C94" s="68" t="str">
        <x:v>mobile mechanic form</x:v>
      </x:c>
      <x:c r="D94" s="68" t="str">
        <x:v>Core long-tail phrase; check actual search and listing counts.</x:v>
      </x:c>
      <x:c r="E94" s="68" t="str"/>
      <x:c r="F94" s="86" t="str"/>
      <x:c r="G94" s="86" t="str"/>
      <x:c r="H94" s="68" t="str"/>
      <x:c r="I94" s="68" t="str"/>
      <x:c r="J94" s="68" t="str"/>
      <x:c r="K94" s="68" t="str">
        <x:v>Not checked</x:v>
      </x:c>
      <x:c r="L94" s="68" t="str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 ht="30" customHeight="1">
      <x:c r="A95" s="68" t="n">
        <x:v>47</x:v>
      </x:c>
      <x:c r="B95" s="68" t="str">
        <x:v>Mobile mechanic customer-ready vehicle report</x:v>
      </x:c>
      <x:c r="C95" s="68" t="str">
        <x:v>vehicle service log</x:v>
      </x:c>
      <x:c r="D95" s="68" t="str">
        <x:v>Alternate buyer wording; compare demand/competition with query 1.</x:v>
      </x:c>
      <x:c r="E95" s="68" t="str"/>
      <x:c r="F95" s="86" t="str"/>
      <x:c r="G95" s="86" t="str"/>
      <x:c r="H95" s="68" t="str"/>
      <x:c r="I95" s="68" t="str"/>
      <x:c r="J95" s="68" t="str"/>
      <x:c r="K95" s="68" t="str">
        <x:v>Not checked</x:v>
      </x:c>
      <x:c r="L95" s="68" t="str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 ht="30" customHeight="1">
      <x:c r="A96" s="68" t="n">
        <x:v>48</x:v>
      </x:c>
      <x:c r="B96" s="68" t="str">
        <x:v>Chosen-family yearbook and tradition builder</x:v>
      </x:c>
      <x:c r="C96" s="68" t="str">
        <x:v>chosen family memory book</x:v>
      </x:c>
      <x:c r="D96" s="68" t="str">
        <x:v>Core long-tail phrase; check actual search and listing counts.</x:v>
      </x:c>
      <x:c r="E96" s="68" t="str"/>
      <x:c r="F96" s="86" t="str"/>
      <x:c r="G96" s="86" t="str"/>
      <x:c r="H96" s="68" t="str"/>
      <x:c r="I96" s="68" t="str"/>
      <x:c r="J96" s="68" t="str"/>
      <x:c r="K96" s="68" t="str">
        <x:v>Not checked</x:v>
      </x:c>
      <x:c r="L96" s="68" t="str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 ht="30" customHeight="1">
      <x:c r="A97" s="68" t="n">
        <x:v>48</x:v>
      </x:c>
      <x:c r="B97" s="68" t="str">
        <x:v>Chosen-family yearbook and tradition builder</x:v>
      </x:c>
      <x:c r="C97" s="68" t="str">
        <x:v>friendsmas keepsake</x:v>
      </x:c>
      <x:c r="D97" s="68" t="str">
        <x:v>Alternate buyer wording; compare demand/competition with query 1.</x:v>
      </x:c>
      <x:c r="E97" s="68" t="str"/>
      <x:c r="F97" s="86" t="str"/>
      <x:c r="G97" s="86" t="str"/>
      <x:c r="H97" s="68" t="str"/>
      <x:c r="I97" s="68" t="str"/>
      <x:c r="J97" s="68" t="str"/>
      <x:c r="K97" s="68" t="str">
        <x:v>Not checked</x:v>
      </x:c>
      <x:c r="L97" s="68" t="str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 ht="30" customHeight="1">
      <x:c r="A98" s="68" t="n">
        <x:v>49</x:v>
      </x:c>
      <x:c r="B98" s="68" t="str">
        <x:v>Short-term rental maintenance handoff for cabin systems</x:v>
      </x:c>
      <x:c r="C98" s="68" t="str">
        <x:v>cabin maintenance log</x:v>
      </x:c>
      <x:c r="D98" s="68" t="str">
        <x:v>Core long-tail phrase; check actual search and listing counts.</x:v>
      </x:c>
      <x:c r="E98" s="68" t="str"/>
      <x:c r="F98" s="86" t="str"/>
      <x:c r="G98" s="86" t="str"/>
      <x:c r="H98" s="68" t="str"/>
      <x:c r="I98" s="68" t="str"/>
      <x:c r="J98" s="68" t="str"/>
      <x:c r="K98" s="68" t="str">
        <x:v>Not checked</x:v>
      </x:c>
      <x:c r="L98" s="68" t="str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 ht="30" customHeight="1">
      <x:c r="A99" s="68" t="n">
        <x:v>49</x:v>
      </x:c>
      <x:c r="B99" s="68" t="str">
        <x:v>Short-term rental maintenance handoff for cabin systems</x:v>
      </x:c>
      <x:c r="C99" s="68" t="str">
        <x:v>vacation rental maintenance</x:v>
      </x:c>
      <x:c r="D99" s="68" t="str">
        <x:v>Alternate buyer wording; compare demand/competition with query 1.</x:v>
      </x:c>
      <x:c r="E99" s="68" t="str"/>
      <x:c r="F99" s="86" t="str"/>
      <x:c r="G99" s="86" t="str"/>
      <x:c r="H99" s="68" t="str"/>
      <x:c r="I99" s="68" t="str"/>
      <x:c r="J99" s="68" t="str"/>
      <x:c r="K99" s="68" t="str">
        <x:v>Not checked</x:v>
      </x:c>
      <x:c r="L99" s="68" t="str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 ht="30" customHeight="1">
      <x:c r="A100" s="68" t="n">
        <x:v>50</x:v>
      </x:c>
      <x:c r="B100" s="68" t="str">
        <x:v>Family stargazing night field kit</x:v>
      </x:c>
      <x:c r="C100" s="68" t="str">
        <x:v>family stargazing kit</x:v>
      </x:c>
      <x:c r="D100" s="68" t="str">
        <x:v>Core long-tail phrase; check actual search and listing counts.</x:v>
      </x:c>
      <x:c r="E100" s="68" t="str"/>
      <x:c r="F100" s="86" t="str"/>
      <x:c r="G100" s="86" t="str"/>
      <x:c r="H100" s="68" t="str"/>
      <x:c r="I100" s="68" t="str"/>
      <x:c r="J100" s="68" t="str"/>
      <x:c r="K100" s="68" t="str">
        <x:v>Not checked</x:v>
      </x:c>
      <x:c r="L100" s="68" t="str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 ht="30" customHeight="1">
      <x:c r="A101" s="68" t="n">
        <x:v>50</x:v>
      </x:c>
      <x:c r="B101" s="68" t="str">
        <x:v>Family stargazing night field kit</x:v>
      </x:c>
      <x:c r="C101" s="68" t="str">
        <x:v>night sky journal</x:v>
      </x:c>
      <x:c r="D101" s="68" t="str">
        <x:v>Alternate buyer wording; compare demand/competition with query 1.</x:v>
      </x:c>
      <x:c r="E101" s="68" t="str"/>
      <x:c r="F101" s="86" t="str"/>
      <x:c r="G101" s="86" t="str"/>
      <x:c r="H101" s="68" t="str"/>
      <x:c r="I101" s="68" t="str"/>
      <x:c r="J101" s="68" t="str"/>
      <x:c r="K101" s="68" t="str">
        <x:v>Not checked</x:v>
      </x:c>
      <x:c r="L101" s="68" t="str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dataValidations count="1">
    <x:dataValidation type="list" sqref="K2:K101">
      <x:formula1>"Not checked,Test listing,Refine keyword,Proceed,Park"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c09256ea164a1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2" hidden="0" customWidth="1"/>
    <x:col min="3" max="3" width="72" hidden="0" customWidth="1"/>
  </x:cols>
  <x:sheetData>
    <x:row r="1">
      <x:c r="A1" s="100" t="str">
        <x:v>Stage</x:v>
      </x:c>
      <x:c r="B1" s="100" t="str">
        <x:v>Agent responsibility</x:v>
      </x:c>
      <x:c r="C1" s="100" t="str">
        <x:v>Guardrails / acceptance criteria</x:v>
      </x:c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</x:row>
    <x:row r="2" ht="68" customHeight="1">
      <x:c r="A2" s="68" t="str">
        <x:v>1. Trend &amp; keyword research agent</x:v>
      </x:c>
      <x:c r="B2" s="68" t="str">
        <x:v>Use Etsy Marketplace Insights (when logged in), current Seller Handbook trends and public Etsy search results; collect exact phrasing, visible listing facts and date.</x:v>
      </x:c>
      <x:c r="C2" s="68" t="str">
        <x:v>Never invent search volume, listings count or sales. Separate observed facts from inferences. Save URL + snapshot date.</x:v>
      </x:c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</x:row>
    <x:row r="3" ht="68" customHeight="1">
      <x:c r="A3" s="68" t="str">
        <x:v>2. Competitor listing analyst</x:v>
      </x:c>
      <x:c r="B3" s="68" t="str">
        <x:v>Review the first 20–30 relevant results for exact and adjacent terms; code the format, price, review evidence, age if exposed, preview style, offer depth, target audience and gaps.</x:v>
      </x:c>
      <x:c r="C3" s="68" t="str">
        <x:v>Search results are personalised and incomplete; public reviews are not sales counts. Repeat from a logged-out/incognito view and several query variants.</x:v>
      </x:c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  <x:c r="AC3" s="65"/>
    </x:row>
    <x:row r="4" ht="68" customHeight="1">
      <x:c r="A4" s="68" t="str">
        <x:v>3. Product architect agent</x:v>
      </x:c>
      <x:c r="B4" s="68" t="str">
        <x:v>Turn the best buyer problem into a narrow product spec: audience, job-to-be-done, included pages/tabs, file formats, regional variants, compatibility and exclusion list.</x:v>
      </x:c>
      <x:c r="C4" s="68" t="str">
        <x:v>Do not produce a generic mega-bundle. Choose one buyer and one main job. Define a minimum viable product before generating pages.</x:v>
      </x:c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  <x:c r="AA4" s="65"/>
      <x:c r="AB4" s="65"/>
      <x:c r="AC4" s="65"/>
    </x:row>
    <x:row r="5" ht="68" customHeight="1">
      <x:c r="A5" s="68" t="str">
        <x:v>4. Original content agent</x:v>
      </x:c>
      <x:c r="B5" s="68" t="str">
        <x:v>Draft page copy, original activities, checklists, workflows and instructions; create content matrices for each audience/version.</x:v>
      </x:c>
      <x:c r="C5" s="68" t="str">
        <x:v>Fact-check external claims. No copied competitor wording, scanned/compiled third-party files, copyrighted art or unlicensed book/game IP.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  <x:c r="AC5" s="65"/>
    </x:row>
    <x:row r="6" ht="68" customHeight="1">
      <x:c r="A6" s="68" t="str">
        <x:v>5. Build/design agent</x:v>
      </x:c>
      <x:c r="B6" s="68" t="str">
        <x:v>Produce the actual deliverable: Canva pages, SVG/PNG art, print-ready PDFs, fillable fields, tested spreadsheets, or original card/game files.</x:v>
      </x:c>
      <x:c r="C6" s="68" t="str">
        <x:v>Design for use, not just page count. Check US Letter and A4 where relevant, accessible contrast, readable body type, margins and file-size limits.</x:v>
      </x:c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5"/>
      <x:c r="AC6" s="65"/>
    </x:row>
    <x:row r="7" ht="68" customHeight="1">
      <x:c r="A7" s="68" t="str">
        <x:v>6. Specialist QA agent + human reviewer</x:v>
      </x:c>
      <x:c r="B7" s="68" t="str">
        <x:v>Run checklist-driven QA for factual accuracy, link validity, formula edge cases, grammar, print clipping, accessibility and the buyer journey. Add domain expert review for risky areas.</x:v>
      </x:c>
      <x:c r="C7" s="68" t="str">
        <x:v>Human review is mandatory for legal, medical/animal-care, safety, local-regulation, education suitability and spreadsheet calculations.</x:v>
      </x:c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  <x:c r="AC7" s="65"/>
    </x:row>
    <x:row r="8" ht="68" customHeight="1">
      <x:c r="A8" s="68" t="str">
        <x:v>7. Listing and conversion agent</x:v>
      </x:c>
      <x:c r="B8" s="68" t="str">
        <x:v>Create a natural title, 13 relevant tag phrases, a clear file manifest, compatibility FAQ, digital-download disclosure, AI-use disclosure where required, and multiple listing images that answer buyer questions.</x:v>
      </x:c>
      <x:c r="C8" s="68" t="str">
        <x:v>Etsy guidance prioritises a clear first image and readable first words of the title. Do not use a confusing collage as the first image or fake placeholder product.</x:v>
      </x:c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5"/>
      <x:c r="AC8" s="65"/>
    </x:row>
    <x:row r="9" ht="68" customHeight="1">
      <x:c r="A9" s="68" t="str">
        <x:v>8. Launch-and-learn agent</x:v>
      </x:c>
      <x:c r="B9" s="68" t="str">
        <x:v>Track search visits, favourites, conversion, customer questions, refunds/complaints and product-level profit; propose one controlled improvement per iteration.</x:v>
      </x:c>
      <x:c r="C9" s="68" t="str">
        <x:v>Give a new listing enough observations to learn. Don't repeatedly renew listings as a substitute for fixing relevance/conversion.</x:v>
      </x:c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  <x:c r="AC9" s="65"/>
    </x:row>
    <x:row r="10" ht="68" customHeight="1">
      <x:c r="A10" s="68" t="str">
        <x:v>9. Human publication gate</x:v>
      </x:c>
      <x:c r="B10" s="68" t="str">
        <x:v>Seller verifies rights, product usefulness, final file output, policy compliance, truthful listing details and any AI disclosure before launch.</x:v>
      </x:c>
      <x:c r="C10" s="68" t="str">
        <x:v>Etsy's Creativity Standards permit seller-prompted AI creations with disclosure but list AI prompt bundles among products that do not qualify as designed by a seller.</x:v>
      </x:c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  <x:c r="AC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5"/>
      <x:c r="AC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5"/>
      <x:c r="AC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5"/>
      <x:c r="AC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5"/>
      <x:c r="AC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5"/>
      <x:c r="AC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5"/>
      <x:c r="AC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5"/>
      <x:c r="AC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5"/>
      <x:c r="AC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5"/>
      <x:c r="AC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5"/>
      <x:c r="AC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5"/>
      <x:c r="AC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5"/>
      <x:c r="AC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5"/>
      <x:c r="AC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5"/>
      <x:c r="AC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5"/>
      <x:c r="AC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5"/>
      <x:c r="AC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5"/>
      <x:c r="AC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5"/>
      <x:c r="AC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5"/>
      <x:c r="AC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5"/>
      <x:c r="AC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5"/>
      <x:c r="AC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5"/>
      <x:c r="AC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5"/>
      <x:c r="AC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5"/>
      <x:c r="AC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5"/>
      <x:c r="AC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5"/>
      <x:c r="AC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5"/>
      <x:c r="AC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5"/>
      <x:c r="AC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5"/>
      <x:c r="AC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5"/>
      <x:c r="AC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5"/>
      <x:c r="AC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5"/>
      <x:c r="AC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5"/>
      <x:c r="AC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5"/>
      <x:c r="AC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5"/>
      <x:c r="AC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pageMargins left="0.7" right="0.7" top="0.75" bottom="0.75" header="0.3" footer="0.3"/>
  <x:tableParts count="1">
    <x:tablePart xmlns:r="http://schemas.openxmlformats.org/officeDocument/2006/relationships" r:id="R927107da1f4e438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70" hidden="0" customWidth="1"/>
    <x:col min="4" max="4" width="90" hidden="0" customWidth="1"/>
  </x:cols>
  <x:sheetData>
    <x:row r="1">
      <x:c r="A1" s="102" t="str">
        <x:v>SOURCES, DEFINITIONS &amp; RESEARCH LIMITATIONS</x:v>
      </x:c>
      <x:c r="B1" s="102"/>
      <x:c r="C1" s="102"/>
      <x:c r="D1" s="102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</x:row>
    <x:row r="3">
      <x:c r="A3" s="96" t="str">
        <x:v>Ref</x:v>
      </x:c>
      <x:c r="B3" s="96" t="str">
        <x:v>Source / field</x:v>
      </x:c>
      <x:c r="C3" s="96" t="str">
        <x:v>URL or value</x:v>
      </x:c>
      <x:c r="D3" s="96" t="str">
        <x:v>Use / caveat</x:v>
      </x:c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  <x:c r="AA3" s="65"/>
      <x:c r="AB3" s="65"/>
      <x:c r="AC3" s="65"/>
    </x:row>
    <x:row r="4" ht="52" customHeight="1">
      <x:c r="A4" s="68" t="str">
        <x:v>S1</x:v>
      </x:c>
      <x:c r="B4" s="68" t="str">
        <x:v>Etsy Seller Handbook: Fall/Winter 2026 trend report</x:v>
      </x:c>
      <x:c r="C4" s="68" t="str">
        <x:v>https://www.etsy.com/au/seller-handbook/article/1521255894814</x:v>
      </x:c>
      <x:c r="D4" s="68" t="str">
        <x:v>Published 14 Oct 2026; trend data through 14 Sep 2026. Reports DIY activities +8,500%, personalised friend gifts +1,400%, Friendsmas sales +37%, pet-gifting searches doubled. Cross-category signals only.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  <x:c r="AA4" s="65"/>
      <x:c r="AB4" s="65"/>
      <x:c r="AC4" s="65"/>
    </x:row>
    <x:row r="5" ht="52" customHeight="1">
      <x:c r="A5" s="68" t="str">
        <x:v>S2</x:v>
      </x:c>
      <x:c r="B5" s="68" t="str">
        <x:v>Etsy Marketplace Insights guidance</x:v>
      </x:c>
      <x:c r="C5" s="68" t="str">
        <x:v>https://www.etsy.com/seller-handbook/article/1404564905677</x:v>
      </x:c>
      <x:c r="D5" s="68" t="str">
        <x:v>Etsy says Marketplace Insights uses real search data and listing availability; the public handbook says 15 free weekly searches or unlimited with Etsy Plus. Exact term values were not accessible in this research.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5"/>
      <x:c r="AC5" s="65"/>
    </x:row>
    <x:row r="6" ht="52" customHeight="1">
      <x:c r="A6" s="68" t="str">
        <x:v>S3</x:v>
      </x:c>
      <x:c r="B6" s="68" t="str">
        <x:v>Etsy Creativity Standards</x:v>
      </x:c>
      <x:c r="C6" s="68" t="str">
        <x:v>https://www.etsy.com/au/legal/creativity</x:v>
      </x:c>
      <x:c r="D6" s="68" t="str">
        <x:v>Etsy permits seller-prompted AI creations but requires disclosure in the listing description; the policy says AI prompt bundles do not qualify as designed-by-seller digital products.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5"/>
      <x:c r="AC6" s="65"/>
    </x:row>
    <x:row r="7" ht="52" customHeight="1">
      <x:c r="A7" s="68" t="str">
        <x:v>S4</x:v>
      </x:c>
      <x:c r="B7" s="68" t="str">
        <x:v>Etsy Keywords 101</x:v>
      </x:c>
      <x:c r="C7" s="68" t="str">
        <x:v>https://www.etsy.com/seller-handbook/article/keywords-101-everything-you-need-to-know/382774281517</x:v>
      </x:c>
      <x:c r="D7" s="68" t="str">
        <x:v>Guidance: clear descriptive titles, use all 13 tags, multi-word phrases, regionally relevant terms, and avoid keyword stuffing.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5"/>
      <x:c r="AC7" s="65"/>
    </x:row>
    <x:row r="8" ht="52" customHeight="1">
      <x:c r="A8" s="68" t="str">
        <x:v>S5</x:v>
      </x:c>
      <x:c r="B8" s="68" t="str">
        <x:v>Etsy Creating Listings That Convert</x:v>
      </x:c>
      <x:c r="C8" s="68" t="str">
        <x:v>https://www.etsy.com/seller-handbook/article/creating-listings-that-convert/366469719354</x:v>
      </x:c>
      <x:c r="D8" s="68" t="str">
        <x:v>Guidance says the first photo should clearly show the item; avoid confusing collages as the first image and show a finished product rather than placeholder text.</x:v>
      </x:c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5"/>
      <x:c r="AC8" s="65"/>
    </x:row>
    <x:row r="9" ht="52" customHeight="1">
      <x:c r="A9" s="68" t="str">
        <x:v>S6</x:v>
      </x:c>
      <x:c r="B9" s="68" t="str">
        <x:v>Etsy How Search Works</x:v>
      </x:c>
      <x:c r="C9" s="68" t="str">
        <x:v>https://www.etsy.com/seller-handbook/article/how-etsy-search-works/375461474487</x:v>
      </x:c>
      <x:c r="D9" s="68" t="str">
        <x:v>Search matching considers titles, tags, attributes, descriptions, first photo, reviews and other listing/shop quality signals. Search results are personalised.</x:v>
      </x:c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5"/>
      <x:c r="AC9" s="65"/>
    </x:row>
    <x:row r="10" ht="52" customHeight="1">
      <x:c r="A10" s="68" t="str">
        <x:v>Research date</x:v>
      </x:c>
      <x:c r="B10" s="68" t="str">
        <x:v>Public web research snapshot</x:v>
      </x:c>
      <x:c r="C10" s="68" t="str">
        <x:v>19 Oct 2026</x:v>
      </x:c>
      <x:c r="D10" s="68" t="str">
        <x:v>Listing prices, review counts, availability, sale prices and metadata can change. Competitor table is a sample, not a census.</x:v>
      </x:c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5"/>
      <x:c r="AC10" s="65"/>
    </x:row>
    <x:row r="11" ht="52" customHeight="1">
      <x:c r="A11" s="68" t="str">
        <x:v>Demand score</x:v>
      </x:c>
      <x:c r="B11" s="68" t="str">
        <x:v>Qualitative ordinal 1–5</x:v>
      </x:c>
      <x:c r="C11" s="68" t="str">
        <x:v>Not actual search volume</x:v>
      </x:c>
      <x:c r="D11" s="68" t="str">
        <x:v>Evidence from current Etsy trend signals, public listings/reviews and obvious purchase intent. Lower numbers mark less evidence, not necessarily low demand.</x:v>
      </x:c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5"/>
      <x:c r="AC11" s="65"/>
    </x:row>
    <x:row r="12" ht="52" customHeight="1">
      <x:c r="A12" s="68" t="str">
        <x:v>Competition score</x:v>
      </x:c>
      <x:c r="B12" s="68" t="str">
        <x:v>Qualitative ordinal 1–5</x:v>
      </x:c>
      <x:c r="C12" s="68" t="str">
        <x:v>1=lower exact-match saturation; 5=high saturation</x:v>
      </x:c>
      <x:c r="D12" s="68" t="str">
        <x:v>Based on limited public query sampling and parent-category competition. It is not Etsy Marketplace Insights listing counts and cannot prove that a niche is empty.</x:v>
      </x:c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5"/>
      <x:c r="AC12" s="65"/>
    </x:row>
    <x:row r="13" ht="52" customHeight="1">
      <x:c r="A13" s="68" t="str">
        <x:v>Opportunity score</x:v>
      </x:c>
      <x:c r="B13" s="68" t="str">
        <x:v>Formula-based priority index</x:v>
      </x:c>
      <x:c r="C13" s="68" t="str">
        <x:v>0–100, not revenue forecast</x:v>
      </x:c>
      <x:c r="D13" s="68" t="str">
        <x:v>Weighted score shown in Executive Brief and Opportunities sheet. Uses demand, intent, white-space, AI fit, pricing and evergreen ratings, less a competition penalty.</x:v>
      </x:c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5"/>
      <x:c r="AC13" s="65"/>
    </x:row>
    <x:row r="14" ht="52" customHeight="1">
      <x:c r="A14" s="68" t="str">
        <x:v>Category paths</x:v>
      </x:c>
      <x:c r="B14" s="68" t="str">
        <x:v>Suggested Etsy category path</x:v>
      </x:c>
      <x:c r="C14" s="68" t="str">
        <x:v>Choose nearest current category leaf</x:v>
      </x:c>
      <x:c r="D14" s="68" t="str">
        <x:v>Etsy may change category labels; select the closest current category shown in the listing form. Tags and attributes should remain accurate.</x:v>
      </x:c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5"/>
      <x:c r="AC14" s="65"/>
    </x:row>
    <x:row r="15" ht="52" customHeight="1">
      <x:c r="A15" s="68" t="str">
        <x:v>Price ranges</x:v>
      </x:c>
      <x:c r="B15" s="68" t="str">
        <x:v>Illustrative USD positioning</x:v>
      </x:c>
      <x:c r="C15" s="68" t="str">
        <x:v>Test, don't assume</x:v>
      </x:c>
      <x:c r="D15" s="68" t="str">
        <x:v>Suggested test prices are hypotheses, not competitor medians or net-profit estimates. Check currency, fees, taxes, support burden and buyer value.</x:v>
      </x:c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5"/>
      <x:c r="AC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5"/>
      <x:c r="AC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5"/>
      <x:c r="AC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5"/>
      <x:c r="AC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5"/>
      <x:c r="AC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5"/>
      <x:c r="AC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5"/>
      <x:c r="AC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5"/>
      <x:c r="AC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5"/>
      <x:c r="AC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5"/>
      <x:c r="AC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5"/>
      <x:c r="AC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5"/>
      <x:c r="AC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5"/>
      <x:c r="AC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5"/>
      <x:c r="AC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5"/>
      <x:c r="AC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5"/>
      <x:c r="AC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5"/>
      <x:c r="AC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5"/>
      <x:c r="AC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5"/>
      <x:c r="AC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5"/>
      <x:c r="AC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5"/>
      <x:c r="AC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5"/>
      <x:c r="AC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5"/>
      <x:c r="AC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5"/>
      <x:c r="AC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5"/>
      <x:c r="AC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5"/>
      <x:c r="AC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5"/>
      <x:c r="AC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5"/>
      <x:c r="AC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5"/>
      <x:c r="AC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5"/>
      <x:c r="AC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5"/>
      <x:c r="AC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5"/>
      <x:c r="AC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5"/>
      <x:c r="AC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5"/>
      <x:c r="AC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5"/>
      <x:c r="AC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5"/>
      <x:c r="AC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5"/>
      <x:c r="AC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5"/>
      <x:c r="AC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5"/>
      <x:c r="AC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5"/>
      <x:c r="AC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5"/>
      <x:c r="AC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5"/>
      <x:c r="AC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5"/>
      <x:c r="AC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5"/>
      <x:c r="AC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5"/>
      <x:c r="AC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5"/>
      <x:c r="AC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5"/>
      <x:c r="AC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5"/>
      <x:c r="AC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5"/>
      <x:c r="AC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5"/>
      <x:c r="AC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5"/>
      <x:c r="AC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5"/>
      <x:c r="AC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5"/>
      <x:c r="AC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5"/>
      <x:c r="AC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5"/>
      <x:c r="AC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5"/>
      <x:c r="AC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5"/>
      <x:c r="AC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5"/>
      <x:c r="AC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5"/>
      <x:c r="AC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5"/>
      <x:c r="AC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5"/>
      <x:c r="AC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5"/>
      <x:c r="AC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5"/>
      <x:c r="AC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5"/>
      <x:c r="AC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5"/>
      <x:c r="AC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5"/>
      <x:c r="AC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5"/>
      <x:c r="AC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5"/>
      <x:c r="AC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5"/>
      <x:c r="AC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5"/>
      <x:c r="AC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5"/>
      <x:c r="AC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5"/>
      <x:c r="AC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5"/>
      <x:c r="AC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5"/>
      <x:c r="AC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5"/>
      <x:c r="AC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5"/>
      <x:c r="AC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5"/>
      <x:c r="AC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5"/>
      <x:c r="AC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5"/>
      <x:c r="AC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5"/>
      <x:c r="AC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5"/>
      <x:c r="AC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5"/>
      <x:c r="AC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5"/>
      <x:c r="AC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5"/>
      <x:c r="AC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5"/>
      <x:c r="AC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5"/>
      <x:c r="AC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5"/>
      <x:c r="AC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5"/>
      <x:c r="AC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5"/>
      <x:c r="AC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5"/>
      <x:c r="AC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5"/>
      <x:c r="AC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5"/>
      <x:c r="AC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5"/>
      <x:c r="AC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5"/>
      <x:c r="AC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5"/>
      <x:c r="AC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5"/>
      <x:c r="AC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5"/>
      <x:c r="AC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5"/>
      <x:c r="AC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5"/>
      <x:c r="AC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5"/>
      <x:c r="AC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5"/>
      <x:c r="AC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5"/>
      <x:c r="AC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5"/>
      <x:c r="AC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5"/>
      <x:c r="AC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5"/>
      <x:c r="AC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5"/>
      <x:c r="AC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5"/>
      <x:c r="AC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5"/>
      <x:c r="AC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5"/>
      <x:c r="AC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5"/>
      <x:c r="AC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5"/>
      <x:c r="AC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5"/>
      <x:c r="AC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5"/>
      <x:c r="AC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5"/>
      <x:c r="AC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5"/>
      <x:c r="AC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5"/>
      <x:c r="AC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5"/>
      <x:c r="AC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5"/>
      <x:c r="AC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5"/>
      <x:c r="AC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5"/>
      <x:c r="AC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5"/>
      <x:c r="AC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5"/>
      <x:c r="AC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5"/>
      <x:c r="AC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5"/>
      <x:c r="AC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5"/>
      <x:c r="AC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5"/>
      <x:c r="AC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5"/>
      <x:c r="AC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5"/>
      <x:c r="AC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5"/>
      <x:c r="AC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5"/>
      <x:c r="AC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5"/>
      <x:c r="AC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5"/>
      <x:c r="AC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5"/>
      <x:c r="AC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5"/>
      <x:c r="AC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5"/>
      <x:c r="AC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5"/>
      <x:c r="AC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5"/>
      <x:c r="AC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5"/>
      <x:c r="AC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5"/>
      <x:c r="AC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5"/>
      <x:c r="AC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5"/>
      <x:c r="AC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5"/>
      <x:c r="AC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5"/>
      <x:c r="AC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5"/>
      <x:c r="AC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5"/>
      <x:c r="AC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5"/>
      <x:c r="AC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5"/>
      <x:c r="AC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5"/>
      <x:c r="AC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5"/>
      <x:c r="AC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5"/>
      <x:c r="AC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5"/>
      <x:c r="AC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5"/>
      <x:c r="AC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5"/>
      <x:c r="AC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5"/>
      <x:c r="AC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5"/>
      <x:c r="AC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5"/>
      <x:c r="AC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5"/>
      <x:c r="AC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5"/>
      <x:c r="AC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5"/>
      <x:c r="AC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5"/>
      <x:c r="AC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5"/>
      <x:c r="AC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5"/>
      <x:c r="AC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5"/>
      <x:c r="AC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5"/>
      <x:c r="AC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5"/>
      <x:c r="AC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5"/>
      <x:c r="AC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5"/>
      <x:c r="AC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5"/>
      <x:c r="AC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5"/>
      <x:c r="AC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5"/>
      <x:c r="AC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5"/>
      <x:c r="AC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5"/>
      <x:c r="AC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5"/>
      <x:c r="AC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5"/>
      <x:c r="AC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5"/>
      <x:c r="AC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5"/>
      <x:c r="AC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5"/>
      <x:c r="AC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5"/>
      <x:c r="AC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5"/>
      <x:c r="AC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5"/>
      <x:c r="AC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5"/>
      <x:c r="AC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5"/>
      <x:c r="AC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5"/>
      <x:c r="AC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5"/>
      <x:c r="AC200" s="6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c7e8d7bdb064e1d"/>
  </x:tableParts>
</x:worksheet>
</file>